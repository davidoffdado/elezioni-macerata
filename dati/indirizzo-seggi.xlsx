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David\Desktop\elezioni-sindaco-macerata\dati\"/>
    </mc:Choice>
  </mc:AlternateContent>
  <xr:revisionPtr revIDLastSave="0" documentId="13_ncr:1_{89CE1927-29CE-4D26-AE3C-73025BFA215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</calcChain>
</file>

<file path=xl/sharedStrings.xml><?xml version="1.0" encoding="utf-8"?>
<sst xmlns="http://schemas.openxmlformats.org/spreadsheetml/2006/main" count="51" uniqueCount="51">
  <si>
    <t>10 - EDIFICIO SCOLASTICO Q.RE PACE - Via E. Rosa 3</t>
  </si>
  <si>
    <t>11 - EDIFICIO SCOLASTICO Q.RE PACE - Via E. Rosa 3</t>
  </si>
  <si>
    <t>12 - EDIFICIO SCOLASTICO E. FERMI - Via Pace 4</t>
  </si>
  <si>
    <t>13 - EDIFICIO SCOLASTICO E. FERMI - Via Pace 4</t>
  </si>
  <si>
    <t>18 - EX SEMINARIO VESCOVILE - Via Cincinelli 4</t>
  </si>
  <si>
    <t>19 - EX SEMINARIO VESCOVILE - Via Cincinelli 4</t>
  </si>
  <si>
    <t>30 - EDIFICIO SCOLASTICO IV NOVEMBRE - Via Spalato 147</t>
  </si>
  <si>
    <t>31 - EDIFICIO SCOLASTICO IV NOVEMBRE - Via Spalato 147</t>
  </si>
  <si>
    <t>32 - EDIFICIO SCOLASTICO IV NOVEMBRE - Via Spalato 147</t>
  </si>
  <si>
    <t>33 - EDIFICIO SCOLASTICO IV NOVEMBRE - Via Spalato 147</t>
  </si>
  <si>
    <t>34 - EDIFICIO SCOLASTICO CARDARELLI - Via Cardarelli 30</t>
  </si>
  <si>
    <t>35 - EDIFICIO SCOLASTICO CARDARELLI - Via Cardarelli 30</t>
  </si>
  <si>
    <t>36 - EDIFICIO SCOLASTICO CARDARELLI - Via Cardarelli 30</t>
  </si>
  <si>
    <t>44 - OSPEDALE GENERALE PROVINCIALE - Via S. Lucia 4</t>
  </si>
  <si>
    <t>2 - BIBLIOTECA COMUNALE - Piazza Vittorio Veneto n. 2</t>
  </si>
  <si>
    <t>1 - BIBLIOTECA COMUNALE - Piazza Vittorio Veneto n. 2</t>
  </si>
  <si>
    <t>3 - SCUOLA INFANZIA DE AMICIS - Via de Amicis 6</t>
  </si>
  <si>
    <t>4 - EDIFICIO SCOLASTICO CONVITTO NAZIONALE G. LEOPARDI -Via Capuzi 40</t>
  </si>
  <si>
    <t>5 - EDIFICIO SCOLASTICO CONVITTO NAZIONALE G. LEOPARDI -Via Capuzi 40</t>
  </si>
  <si>
    <t>6 - EDIFICIO SCOLASTICO S. D’ACQUISTO/RODARI - Via Panfilo 48</t>
  </si>
  <si>
    <t>7 - EDIFICIO SCOLASTICO S. D’ACQUISTO/RODARI - Via Panfilo 48</t>
  </si>
  <si>
    <t>8 - EDIFICIO SCOLASTICO S. D’ACQUISTO/RODARI - Via Panfilo 48</t>
  </si>
  <si>
    <t>9 - EDIFICIO SCOLASTICO S. D’ACQUISTO/RODARI - Via Panfilo 48</t>
  </si>
  <si>
    <t>14 - CIRCOLO ACLI - Via Galasso da Carpi 2/B</t>
  </si>
  <si>
    <t>15 - CIRCOLO ACLI - Via Galasso da Carpi 2/B</t>
  </si>
  <si>
    <t>16 - EDIFICIO COMUNALE - Via Verdi 10/a</t>
  </si>
  <si>
    <t>17 - EDIFICIO COMUNALE - Via Verdi 10/a</t>
  </si>
  <si>
    <t>20 - EDIFICIO SCOLASTICO CONVITTO NAZIONALE G. LEOPARDI -Via Capuzi 40</t>
  </si>
  <si>
    <t>21 - SCUOLA INFANZIA DE AMICIS - Via de Amicis 6</t>
  </si>
  <si>
    <t>22 - SCUOLA INFANZIA DE AMICIS - Via de Amicis 6</t>
  </si>
  <si>
    <t>23 - EDIFICIO SCOLASTICO S. D’ACQUISTO/RODARI - Via Panfilo 48</t>
  </si>
  <si>
    <t>37 - EDIFICIO SCOLASTICO ANNA FRANK - Via dell’Acquedotto 18</t>
  </si>
  <si>
    <t>38 - EDIFICIO SCOLASTICO ANNA FRANK - Via dell’Acquedotto 18</t>
  </si>
  <si>
    <t>39 - EDIFICIO SCOLASTICO ANNA FRANK - Via dell’Acquedotto 18</t>
  </si>
  <si>
    <t>40 - EX EDIFICIO SCOLASTICO SFORZACOSTA - Via Liviabella 7</t>
  </si>
  <si>
    <t>41 - EX EDIFICIO SCOLASTICO SFORZACOSTA - Via Liviabella 7</t>
  </si>
  <si>
    <t>42 - EDIFICIO SCOLASTICO S. PERTINI - Via Tagliamento 47</t>
  </si>
  <si>
    <t>43 - EDIFICIO SCOLASTICO S. PERTINI - Via Tagliamento 47</t>
  </si>
  <si>
    <t>orig_name</t>
  </si>
  <si>
    <t>sezione</t>
  </si>
  <si>
    <t>tipo</t>
  </si>
  <si>
    <t>24 - EDIFICIO SCOLASTICO F.LLI CERVI - Via Fratelli Cervi 40,42</t>
  </si>
  <si>
    <t>25 - EDIFICIO SCOLASTICO F.LLI CERVI - Via Fratelli Cervi 40,42</t>
  </si>
  <si>
    <t>26 - EDIFICIO SCOLASTICO F.LLI CERVI - Via Fratelli Cervi 40,42</t>
  </si>
  <si>
    <t>27 - EDIFICIO SCOLASTICO F.LLI CERVI - Via Fratelli Cervi 40,42</t>
  </si>
  <si>
    <t>28 - EDIFICIO SCOLASTICO F.LLI CERVI - Via Fratelli Cervi 40,42</t>
  </si>
  <si>
    <t>29 - EDIFICIO SCOLASTICO F.LLI CERVI - Via Fratelli Cervi 40,42</t>
  </si>
  <si>
    <t>via_full</t>
  </si>
  <si>
    <t>nome_via</t>
  </si>
  <si>
    <t>from_civico</t>
  </si>
  <si>
    <t>to_civico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</si>
</sst>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G45"/>
  <sheetViews>
    <sheetView tabSelected="1" workbookViewId="0">
      <selection activeCell="B4" sqref="B4:B45"/>
    </sheetView>
  </sheetViews>
  <sheetFormatPr defaultRowHeight="14.4" x14ac:dyDescent="0.3"/>
  <cols>
    <col min="1" max="1" width="66.21875" bestFit="1" customWidth="1"/>
    <col min="3" max="3" width="50.109375" bestFit="1" customWidth="1"/>
    <col min="4" max="4" width="23.21875" bestFit="1" customWidth="1"/>
    <col min="5" max="5" width="9" bestFit="1" customWidth="1"/>
    <col min="6" max="6" width="10.6640625" bestFit="1" customWidth="1"/>
  </cols>
  <sheetData>
    <row r="1" spans="1:7" x14ac:dyDescent="0.3">
      <c r="A1" t="s">
        <v>38</v>
      </c>
      <c r="B1" t="s">
        <v>39</v>
      </c>
      <c r="C1" t="s">
        <v>40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">
      <c r="A2" t="s">
        <v>15</v>
      </c>
      <c r="B2" s="1">
        <v>1</v>
      </c>
      <c r="C2" t="str">
        <f>MID(A2, FIND("- ",A2)+2, FIND(" -",A2,FIND("- ",A2)+1)-FIND("- ",A2)-2)</f>
        <v>BIBLIOTECA COMUNALE</v>
      </c>
      <c r="D2" t="str">
        <f>TRIM(_xlfn.TEXTAFTER(A2, "-", -1))</f>
        <v>Piazza Vittorio Veneto n. 2</v>
      </c>
    </row>
    <row r="3" spans="1:7" x14ac:dyDescent="0.3">
      <c r="A3" t="s">
        <v>14</v>
      </c>
      <c r="B3" s="1">
        <v>2</v>
      </c>
      <c r="C3" t="str">
        <f t="shared" ref="C3:C45" si="0">MID(A3, FIND("- ",A3)+2, FIND(" -",A3,FIND("- ",A3)+1)-FIND("- ",A3)-2)</f>
        <v>BIBLIOTECA COMUNALE</v>
      </c>
      <c r="D3" t="str">
        <f t="shared" ref="D3:D45" si="1">TRIM(_xlfn.TEXTAFTER(A3, "-", -1))</f>
        <v>Piazza Vittorio Veneto n. 2</v>
      </c>
    </row>
    <row r="4" spans="1:7" x14ac:dyDescent="0.3">
      <c r="A4" t="s">
        <v>16</v>
      </c>
      <c r="B4" s="1">
        <v>3</v>
      </c>
      <c r="C4" t="str">
        <f t="shared" si="0"/>
        <v>SCUOLA INFANZIA DE AMICIS</v>
      </c>
      <c r="D4" t="str">
        <f t="shared" si="1"/>
        <v>Via de Amicis 6</v>
      </c>
    </row>
    <row r="5" spans="1:7" x14ac:dyDescent="0.3">
      <c r="A5" t="s">
        <v>17</v>
      </c>
      <c r="B5" s="1">
        <v>4</v>
      </c>
      <c r="C5" t="str">
        <f t="shared" si="0"/>
        <v>EDIFICIO SCOLASTICO CONVITTO NAZIONALE G. LEOPARDI</v>
      </c>
      <c r="D5" t="str">
        <f t="shared" si="1"/>
        <v>Via Capuzi 40</v>
      </c>
    </row>
    <row r="6" spans="1:7" x14ac:dyDescent="0.3">
      <c r="A6" t="s">
        <v>18</v>
      </c>
      <c r="B6" s="1">
        <v>5</v>
      </c>
      <c r="C6" t="str">
        <f t="shared" si="0"/>
        <v>EDIFICIO SCOLASTICO CONVITTO NAZIONALE G. LEOPARDI</v>
      </c>
      <c r="D6" t="str">
        <f t="shared" si="1"/>
        <v>Via Capuzi 40</v>
      </c>
    </row>
    <row r="7" spans="1:7" x14ac:dyDescent="0.3">
      <c r="A7" t="s">
        <v>19</v>
      </c>
      <c r="B7" s="1">
        <v>6</v>
      </c>
      <c r="C7" t="str">
        <f t="shared" si="0"/>
        <v>EDIFICIO SCOLASTICO S. D’ACQUISTO/RODARI</v>
      </c>
      <c r="D7" t="str">
        <f t="shared" si="1"/>
        <v>Via Panfilo 48</v>
      </c>
    </row>
    <row r="8" spans="1:7" x14ac:dyDescent="0.3">
      <c r="A8" t="s">
        <v>20</v>
      </c>
      <c r="B8" s="1">
        <v>7</v>
      </c>
      <c r="C8" t="str">
        <f t="shared" si="0"/>
        <v>EDIFICIO SCOLASTICO S. D’ACQUISTO/RODARI</v>
      </c>
      <c r="D8" t="str">
        <f t="shared" si="1"/>
        <v>Via Panfilo 48</v>
      </c>
    </row>
    <row r="9" spans="1:7" x14ac:dyDescent="0.3">
      <c r="A9" t="s">
        <v>21</v>
      </c>
      <c r="B9" s="1">
        <v>8</v>
      </c>
      <c r="C9" t="str">
        <f t="shared" si="0"/>
        <v>EDIFICIO SCOLASTICO S. D’ACQUISTO/RODARI</v>
      </c>
      <c r="D9" t="str">
        <f t="shared" si="1"/>
        <v>Via Panfilo 48</v>
      </c>
    </row>
    <row r="10" spans="1:7" x14ac:dyDescent="0.3">
      <c r="A10" t="s">
        <v>22</v>
      </c>
      <c r="B10" s="1">
        <v>9</v>
      </c>
      <c r="C10" t="str">
        <f t="shared" si="0"/>
        <v>EDIFICIO SCOLASTICO S. D’ACQUISTO/RODARI</v>
      </c>
      <c r="D10" t="str">
        <f t="shared" si="1"/>
        <v>Via Panfilo 48</v>
      </c>
    </row>
    <row r="11" spans="1:7" x14ac:dyDescent="0.3">
      <c r="A11" t="s">
        <v>0</v>
      </c>
      <c r="B11" s="1">
        <v>10</v>
      </c>
      <c r="C11" t="str">
        <f t="shared" si="0"/>
        <v>EDIFICIO SCOLASTICO Q.RE PACE</v>
      </c>
      <c r="D11" t="str">
        <f t="shared" si="1"/>
        <v>Via E. Rosa 3</v>
      </c>
    </row>
    <row r="12" spans="1:7" x14ac:dyDescent="0.3">
      <c r="A12" t="s">
        <v>1</v>
      </c>
      <c r="B12" s="1">
        <v>11</v>
      </c>
      <c r="C12" t="str">
        <f t="shared" si="0"/>
        <v>EDIFICIO SCOLASTICO Q.RE PACE</v>
      </c>
      <c r="D12" t="str">
        <f t="shared" si="1"/>
        <v>Via E. Rosa 3</v>
      </c>
    </row>
    <row r="13" spans="1:7" x14ac:dyDescent="0.3">
      <c r="A13" t="s">
        <v>2</v>
      </c>
      <c r="B13" s="1">
        <v>12</v>
      </c>
      <c r="C13" t="str">
        <f t="shared" si="0"/>
        <v>EDIFICIO SCOLASTICO E. FERMI</v>
      </c>
      <c r="D13" t="str">
        <f t="shared" si="1"/>
        <v>Via Pace 4</v>
      </c>
    </row>
    <row r="14" spans="1:7" x14ac:dyDescent="0.3">
      <c r="A14" t="s">
        <v>3</v>
      </c>
      <c r="B14" s="1">
        <v>13</v>
      </c>
      <c r="C14" t="str">
        <f t="shared" si="0"/>
        <v>EDIFICIO SCOLASTICO E. FERMI</v>
      </c>
      <c r="D14" t="str">
        <f t="shared" si="1"/>
        <v>Via Pace 4</v>
      </c>
    </row>
    <row r="15" spans="1:7" x14ac:dyDescent="0.3">
      <c r="A15" t="s">
        <v>23</v>
      </c>
      <c r="B15" s="1">
        <v>14</v>
      </c>
      <c r="C15" t="str">
        <f t="shared" si="0"/>
        <v>CIRCOLO ACLI</v>
      </c>
      <c r="D15" t="str">
        <f t="shared" si="1"/>
        <v>Via Galasso da Carpi 2/B</v>
      </c>
    </row>
    <row r="16" spans="1:7" x14ac:dyDescent="0.3">
      <c r="A16" t="s">
        <v>24</v>
      </c>
      <c r="B16" s="1">
        <v>15</v>
      </c>
      <c r="C16" t="str">
        <f t="shared" si="0"/>
        <v>CIRCOLO ACLI</v>
      </c>
      <c r="D16" t="str">
        <f t="shared" si="1"/>
        <v>Via Galasso da Carpi 2/B</v>
      </c>
    </row>
    <row r="17" spans="1:4" x14ac:dyDescent="0.3">
      <c r="A17" t="s">
        <v>25</v>
      </c>
      <c r="B17" s="1">
        <v>16</v>
      </c>
      <c r="C17" t="str">
        <f t="shared" si="0"/>
        <v>EDIFICIO COMUNALE</v>
      </c>
      <c r="D17" t="str">
        <f t="shared" si="1"/>
        <v>Via Verdi 10/a</v>
      </c>
    </row>
    <row r="18" spans="1:4" x14ac:dyDescent="0.3">
      <c r="A18" t="s">
        <v>26</v>
      </c>
      <c r="B18" s="1">
        <v>17</v>
      </c>
      <c r="C18" t="str">
        <f t="shared" si="0"/>
        <v>EDIFICIO COMUNALE</v>
      </c>
      <c r="D18" t="str">
        <f t="shared" si="1"/>
        <v>Via Verdi 10/a</v>
      </c>
    </row>
    <row r="19" spans="1:4" x14ac:dyDescent="0.3">
      <c r="A19" t="s">
        <v>4</v>
      </c>
      <c r="B19" s="1">
        <v>18</v>
      </c>
      <c r="C19" t="str">
        <f t="shared" si="0"/>
        <v>EX SEMINARIO VESCOVILE</v>
      </c>
      <c r="D19" t="str">
        <f t="shared" si="1"/>
        <v>Via Cincinelli 4</v>
      </c>
    </row>
    <row r="20" spans="1:4" x14ac:dyDescent="0.3">
      <c r="A20" t="s">
        <v>5</v>
      </c>
      <c r="B20" s="1">
        <v>19</v>
      </c>
      <c r="C20" t="str">
        <f t="shared" si="0"/>
        <v>EX SEMINARIO VESCOVILE</v>
      </c>
      <c r="D20" t="str">
        <f t="shared" si="1"/>
        <v>Via Cincinelli 4</v>
      </c>
    </row>
    <row r="21" spans="1:4" x14ac:dyDescent="0.3">
      <c r="A21" t="s">
        <v>27</v>
      </c>
      <c r="B21" s="1">
        <v>20</v>
      </c>
      <c r="C21" t="str">
        <f t="shared" si="0"/>
        <v>EDIFICIO SCOLASTICO CONVITTO NAZIONALE G. LEOPARDI</v>
      </c>
      <c r="D21" t="str">
        <f t="shared" si="1"/>
        <v>Via Capuzi 40</v>
      </c>
    </row>
    <row r="22" spans="1:4" x14ac:dyDescent="0.3">
      <c r="A22" t="s">
        <v>28</v>
      </c>
      <c r="B22" s="1">
        <v>21</v>
      </c>
      <c r="C22" t="str">
        <f t="shared" si="0"/>
        <v>SCUOLA INFANZIA DE AMICIS</v>
      </c>
      <c r="D22" t="str">
        <f t="shared" si="1"/>
        <v>Via de Amicis 6</v>
      </c>
    </row>
    <row r="23" spans="1:4" x14ac:dyDescent="0.3">
      <c r="A23" t="s">
        <v>29</v>
      </c>
      <c r="B23" s="1">
        <v>22</v>
      </c>
      <c r="C23" t="str">
        <f t="shared" si="0"/>
        <v>SCUOLA INFANZIA DE AMICIS</v>
      </c>
      <c r="D23" t="str">
        <f t="shared" si="1"/>
        <v>Via de Amicis 6</v>
      </c>
    </row>
    <row r="24" spans="1:4" x14ac:dyDescent="0.3">
      <c r="A24" t="s">
        <v>30</v>
      </c>
      <c r="B24" s="1">
        <v>23</v>
      </c>
      <c r="C24" t="str">
        <f t="shared" si="0"/>
        <v>EDIFICIO SCOLASTICO S. D’ACQUISTO/RODARI</v>
      </c>
      <c r="D24" t="str">
        <f t="shared" si="1"/>
        <v>Via Panfilo 48</v>
      </c>
    </row>
    <row r="25" spans="1:4" x14ac:dyDescent="0.3">
      <c r="A25" t="s">
        <v>41</v>
      </c>
      <c r="B25" s="1">
        <v>24</v>
      </c>
      <c r="C25" t="str">
        <f t="shared" si="0"/>
        <v>EDIFICIO SCOLASTICO F.LLI CERVI</v>
      </c>
      <c r="D25" t="str">
        <f t="shared" si="1"/>
        <v>Via Fratelli Cervi 40,42</v>
      </c>
    </row>
    <row r="26" spans="1:4" x14ac:dyDescent="0.3">
      <c r="A26" t="s">
        <v>42</v>
      </c>
      <c r="B26" s="1">
        <v>25</v>
      </c>
      <c r="C26" t="str">
        <f t="shared" si="0"/>
        <v>EDIFICIO SCOLASTICO F.LLI CERVI</v>
      </c>
      <c r="D26" t="str">
        <f t="shared" si="1"/>
        <v>Via Fratelli Cervi 40,42</v>
      </c>
    </row>
    <row r="27" spans="1:4" x14ac:dyDescent="0.3">
      <c r="A27" t="s">
        <v>43</v>
      </c>
      <c r="B27" s="1">
        <v>26</v>
      </c>
      <c r="C27" t="str">
        <f t="shared" si="0"/>
        <v>EDIFICIO SCOLASTICO F.LLI CERVI</v>
      </c>
      <c r="D27" t="str">
        <f t="shared" si="1"/>
        <v>Via Fratelli Cervi 40,42</v>
      </c>
    </row>
    <row r="28" spans="1:4" x14ac:dyDescent="0.3">
      <c r="A28" t="s">
        <v>44</v>
      </c>
      <c r="B28" s="1">
        <v>27</v>
      </c>
      <c r="C28" t="str">
        <f t="shared" si="0"/>
        <v>EDIFICIO SCOLASTICO F.LLI CERVI</v>
      </c>
      <c r="D28" t="str">
        <f t="shared" si="1"/>
        <v>Via Fratelli Cervi 40,42</v>
      </c>
    </row>
    <row r="29" spans="1:4" x14ac:dyDescent="0.3">
      <c r="A29" t="s">
        <v>45</v>
      </c>
      <c r="B29" s="1">
        <v>28</v>
      </c>
      <c r="C29" t="str">
        <f t="shared" si="0"/>
        <v>EDIFICIO SCOLASTICO F.LLI CERVI</v>
      </c>
      <c r="D29" t="str">
        <f t="shared" si="1"/>
        <v>Via Fratelli Cervi 40,42</v>
      </c>
    </row>
    <row r="30" spans="1:4" x14ac:dyDescent="0.3">
      <c r="A30" t="s">
        <v>46</v>
      </c>
      <c r="B30" s="1">
        <v>29</v>
      </c>
      <c r="C30" t="str">
        <f t="shared" si="0"/>
        <v>EDIFICIO SCOLASTICO F.LLI CERVI</v>
      </c>
      <c r="D30" t="str">
        <f t="shared" si="1"/>
        <v>Via Fratelli Cervi 40,42</v>
      </c>
    </row>
    <row r="31" spans="1:4" x14ac:dyDescent="0.3">
      <c r="A31" t="s">
        <v>6</v>
      </c>
      <c r="B31" s="1">
        <v>30</v>
      </c>
      <c r="C31" t="str">
        <f t="shared" si="0"/>
        <v>EDIFICIO SCOLASTICO IV NOVEMBRE</v>
      </c>
      <c r="D31" t="str">
        <f t="shared" si="1"/>
        <v>Via Spalato 147</v>
      </c>
    </row>
    <row r="32" spans="1:4" x14ac:dyDescent="0.3">
      <c r="A32" t="s">
        <v>7</v>
      </c>
      <c r="B32" s="1">
        <v>31</v>
      </c>
      <c r="C32" t="str">
        <f t="shared" si="0"/>
        <v>EDIFICIO SCOLASTICO IV NOVEMBRE</v>
      </c>
      <c r="D32" t="str">
        <f t="shared" si="1"/>
        <v>Via Spalato 147</v>
      </c>
    </row>
    <row r="33" spans="1:4" x14ac:dyDescent="0.3">
      <c r="A33" t="s">
        <v>8</v>
      </c>
      <c r="B33" s="1">
        <v>32</v>
      </c>
      <c r="C33" t="str">
        <f t="shared" si="0"/>
        <v>EDIFICIO SCOLASTICO IV NOVEMBRE</v>
      </c>
      <c r="D33" t="str">
        <f t="shared" si="1"/>
        <v>Via Spalato 147</v>
      </c>
    </row>
    <row r="34" spans="1:4" x14ac:dyDescent="0.3">
      <c r="A34" t="s">
        <v>9</v>
      </c>
      <c r="B34" s="1">
        <v>33</v>
      </c>
      <c r="C34" t="str">
        <f t="shared" si="0"/>
        <v>EDIFICIO SCOLASTICO IV NOVEMBRE</v>
      </c>
      <c r="D34" t="str">
        <f t="shared" si="1"/>
        <v>Via Spalato 147</v>
      </c>
    </row>
    <row r="35" spans="1:4" x14ac:dyDescent="0.3">
      <c r="A35" t="s">
        <v>10</v>
      </c>
      <c r="B35" s="1">
        <v>34</v>
      </c>
      <c r="C35" t="str">
        <f t="shared" si="0"/>
        <v>EDIFICIO SCOLASTICO CARDARELLI</v>
      </c>
      <c r="D35" t="str">
        <f t="shared" si="1"/>
        <v>Via Cardarelli 30</v>
      </c>
    </row>
    <row r="36" spans="1:4" x14ac:dyDescent="0.3">
      <c r="A36" t="s">
        <v>11</v>
      </c>
      <c r="B36" s="1">
        <v>35</v>
      </c>
      <c r="C36" t="str">
        <f t="shared" si="0"/>
        <v>EDIFICIO SCOLASTICO CARDARELLI</v>
      </c>
      <c r="D36" t="str">
        <f t="shared" si="1"/>
        <v>Via Cardarelli 30</v>
      </c>
    </row>
    <row r="37" spans="1:4" x14ac:dyDescent="0.3">
      <c r="A37" t="s">
        <v>12</v>
      </c>
      <c r="B37" s="1">
        <v>36</v>
      </c>
      <c r="C37" t="str">
        <f t="shared" si="0"/>
        <v>EDIFICIO SCOLASTICO CARDARELLI</v>
      </c>
      <c r="D37" t="str">
        <f t="shared" si="1"/>
        <v>Via Cardarelli 30</v>
      </c>
    </row>
    <row r="38" spans="1:4" x14ac:dyDescent="0.3">
      <c r="A38" t="s">
        <v>31</v>
      </c>
      <c r="B38" s="1">
        <v>37</v>
      </c>
      <c r="C38" t="str">
        <f t="shared" si="0"/>
        <v>EDIFICIO SCOLASTICO ANNA FRANK</v>
      </c>
      <c r="D38" t="str">
        <f t="shared" si="1"/>
        <v>Via dell’Acquedotto 18</v>
      </c>
    </row>
    <row r="39" spans="1:4" x14ac:dyDescent="0.3">
      <c r="A39" t="s">
        <v>32</v>
      </c>
      <c r="B39" s="1">
        <v>38</v>
      </c>
      <c r="C39" t="str">
        <f t="shared" si="0"/>
        <v>EDIFICIO SCOLASTICO ANNA FRANK</v>
      </c>
      <c r="D39" t="str">
        <f t="shared" si="1"/>
        <v>Via dell’Acquedotto 18</v>
      </c>
    </row>
    <row r="40" spans="1:4" x14ac:dyDescent="0.3">
      <c r="A40" t="s">
        <v>33</v>
      </c>
      <c r="B40" s="1">
        <v>39</v>
      </c>
      <c r="C40" t="str">
        <f t="shared" si="0"/>
        <v>EDIFICIO SCOLASTICO ANNA FRANK</v>
      </c>
      <c r="D40" t="str">
        <f t="shared" si="1"/>
        <v>Via dell’Acquedotto 18</v>
      </c>
    </row>
    <row r="41" spans="1:4" x14ac:dyDescent="0.3">
      <c r="A41" t="s">
        <v>34</v>
      </c>
      <c r="B41" s="1">
        <v>40</v>
      </c>
      <c r="C41" t="str">
        <f t="shared" si="0"/>
        <v>EX EDIFICIO SCOLASTICO SFORZACOSTA</v>
      </c>
      <c r="D41" t="str">
        <f t="shared" si="1"/>
        <v>Via Liviabella 7</v>
      </c>
    </row>
    <row r="42" spans="1:4" x14ac:dyDescent="0.3">
      <c r="A42" t="s">
        <v>35</v>
      </c>
      <c r="B42" s="1">
        <v>41</v>
      </c>
      <c r="C42" t="str">
        <f t="shared" si="0"/>
        <v>EX EDIFICIO SCOLASTICO SFORZACOSTA</v>
      </c>
      <c r="D42" t="str">
        <f t="shared" si="1"/>
        <v>Via Liviabella 7</v>
      </c>
    </row>
    <row r="43" spans="1:4" x14ac:dyDescent="0.3">
      <c r="A43" t="s">
        <v>36</v>
      </c>
      <c r="B43" s="1">
        <v>42</v>
      </c>
      <c r="C43" t="str">
        <f t="shared" si="0"/>
        <v>EDIFICIO SCOLASTICO S. PERTINI</v>
      </c>
      <c r="D43" t="str">
        <f t="shared" si="1"/>
        <v>Via Tagliamento 47</v>
      </c>
    </row>
    <row r="44" spans="1:4" x14ac:dyDescent="0.3">
      <c r="A44" t="s">
        <v>37</v>
      </c>
      <c r="B44" s="1">
        <v>43</v>
      </c>
      <c r="C44" t="str">
        <f t="shared" si="0"/>
        <v>EDIFICIO SCOLASTICO S. PERTINI</v>
      </c>
      <c r="D44" t="str">
        <f t="shared" si="1"/>
        <v>Via Tagliamento 47</v>
      </c>
    </row>
    <row r="45" spans="1:4" x14ac:dyDescent="0.3">
      <c r="A45" t="s">
        <v>13</v>
      </c>
      <c r="B45" s="1">
        <v>44</v>
      </c>
      <c r="C45" t="str">
        <f t="shared" si="0"/>
        <v>OSPEDALE GENERALE PROVINCIALE</v>
      </c>
      <c r="D45" t="str">
        <f t="shared" si="1"/>
        <v>Via S. Lucia 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RUFFINI</cp:lastModifiedBy>
  <dcterms:created xsi:type="dcterms:W3CDTF">2015-06-05T18:19:34Z</dcterms:created>
  <dcterms:modified xsi:type="dcterms:W3CDTF">2026-03-30T18:10:04Z</dcterms:modified>
</cp:coreProperties>
</file>