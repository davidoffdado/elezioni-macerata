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\Desktop\elezioni-sindaco-macerata\dati\"/>
    </mc:Choice>
  </mc:AlternateContent>
  <xr:revisionPtr revIDLastSave="0" documentId="13_ncr:1_{37B1ED94-79A6-4C82-ADB5-2A3E9D26E8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2" i="1"/>
</calcChain>
</file>

<file path=xl/sharedStrings.xml><?xml version="1.0" encoding="utf-8"?>
<sst xmlns="http://schemas.openxmlformats.org/spreadsheetml/2006/main" count="3074" uniqueCount="1696">
  <si>
    <t>obs</t>
  </si>
  <si>
    <t>sezione</t>
  </si>
  <si>
    <t>quartiere</t>
  </si>
  <si>
    <t>indirizzo</t>
  </si>
  <si>
    <t>indirizzo_clean</t>
  </si>
  <si>
    <t>from_civico</t>
  </si>
  <si>
    <t>to_civico</t>
  </si>
  <si>
    <t>lat</t>
  </si>
  <si>
    <t>lon</t>
  </si>
  <si>
    <t>query_geocode</t>
  </si>
  <si>
    <t>latitudine</t>
  </si>
  <si>
    <t>longitudine</t>
  </si>
  <si>
    <t>indirizzo_trovato</t>
  </si>
  <si>
    <t>CORSO DELLA REPUBBLICA - (solo civici pari da 10 fino a 28)</t>
  </si>
  <si>
    <t>CORSO DELLA REPUBBLICA</t>
  </si>
  <si>
    <t>CORSO DELLA REPUBBLICA 10, Macerata, MC, Italia</t>
  </si>
  <si>
    <t>Corso della Repubblica, Centro storico, Macerata, 62100, Italia</t>
  </si>
  <si>
    <t>CORSO MATTEOTTI GIACOMO - (solo civici dispari da 17 fino a 57)</t>
  </si>
  <si>
    <t>CORSO MATTEOTTI GIACOMO</t>
  </si>
  <si>
    <t>CORSO MATTEOTTI GIACOMO 17, Macerata, MC, Italia</t>
  </si>
  <si>
    <t>17, Corso Giacomo Matteotti, Centro storico, Macerata, Marche, 62100, Italia</t>
  </si>
  <si>
    <t>FORO DEI DONATORI DEL SANGUE</t>
  </si>
  <si>
    <t>all</t>
  </si>
  <si>
    <t>FORO DEI DONATORI DEL SANGUE, Macerata, MC, Italia</t>
  </si>
  <si>
    <t>Foro dei Donatori del Sangue, Centro storico, Macerata, 62100, Italia</t>
  </si>
  <si>
    <t>GALLERIA DEL COMMERCIO</t>
  </si>
  <si>
    <t>GALLERIA DEL COMMERCIO, Macerata, MC, Italia</t>
  </si>
  <si>
    <t>Galleria del commercio, Centro storico, Macerata, 62100, Italia</t>
  </si>
  <si>
    <t>GIARDINO MAZZINI GIUSEPPE</t>
  </si>
  <si>
    <t>GIARDINO MAZZINI GIUSEPPE, Macerata, MC, Italia</t>
  </si>
  <si>
    <t>Il giardino del The, 54, Piazza Giuseppe Mazzini, Centro storico, Macerata, Marche, 62100, Italia</t>
  </si>
  <si>
    <t>LARGO AMENDOLA GIOVANNI</t>
  </si>
  <si>
    <t>LARGO AMENDOLA GIOVANNI, Macerata, MC, Italia</t>
  </si>
  <si>
    <t>Largo Giovanni Amendola, Centro storico, Macerata, 62100, Italia</t>
  </si>
  <si>
    <t>PIAGGIA DELL'ERTA</t>
  </si>
  <si>
    <t>PIAGGIA DELL'ERTA, Macerata, MC, Italia</t>
  </si>
  <si>
    <t>Piaggia dell'Erta, Borgo San Giuliano, Macerata, 62100, Italia</t>
  </si>
  <si>
    <t>PIAGGIA DELLA BIBLIOTECA</t>
  </si>
  <si>
    <t>PIAGGIA DELLA BIBLIOTECA, Macerata, MC, Italia</t>
  </si>
  <si>
    <t>Piaggia della biblioteca, Centro storico, Macerata, Marche, 62100, Italia</t>
  </si>
  <si>
    <t>PIAGGIA DELLA TORRE</t>
  </si>
  <si>
    <t>PIAGGIA DELLA TORRE, Macerata, MC, Italia</t>
  </si>
  <si>
    <t>Piaggia della Torre, Centro storico, Macerata, Marche, 62100, Italia</t>
  </si>
  <si>
    <t>PIAGGIA UNIVERSITA'</t>
  </si>
  <si>
    <t>PIAGGIA UNIVERSITA', Macerata, MC, Italia</t>
  </si>
  <si>
    <t>Piaggia dell'Università, Centro storico, Macerata, Marche, 62100, Italia</t>
  </si>
  <si>
    <t>PIAZZA BATTISTI CESARE - (solo civico 6)</t>
  </si>
  <si>
    <t>PIAZZA BATTISTI CESARE</t>
  </si>
  <si>
    <t>PIAZZA BATTISTI CESARE, Macerata, MC, Italia</t>
  </si>
  <si>
    <t>Piazza Cesare Battisti, Centro storico, Macerata, Marche, 62100, Italia</t>
  </si>
  <si>
    <t>PIAZZA DELLA LIBERTA'</t>
  </si>
  <si>
    <t>PIAZZA DELLA LIBERTA', Macerata, MC, Italia</t>
  </si>
  <si>
    <t>Piazza della Libertà, Centro storico, Macerata, 62100, Italia</t>
  </si>
  <si>
    <t>PIAZZA MAZZINI GIUSEPPE</t>
  </si>
  <si>
    <t>PIAZZA MAZZINI GIUSEPPE, Macerata, MC, Italia</t>
  </si>
  <si>
    <t>Piazza Giuseppe Mazzini, Centro storico, Macerata, Marche, 62100, Italia</t>
  </si>
  <si>
    <t>PIAZZA ROSSI LAURO</t>
  </si>
  <si>
    <t>PIAZZA ROSSI LAURO, Macerata, MC, Italia</t>
  </si>
  <si>
    <t>Piazza Lauro Rossi, Centro storico, Macerata, 62100, Italia</t>
  </si>
  <si>
    <t>PIAZZA SAN VINCENZO MARIA STRAMBI</t>
  </si>
  <si>
    <t>PIAZZA SAN VINCENZO MARIA STRAMBI, Macerata, MC, Italia</t>
  </si>
  <si>
    <t>Piazza San Vincenzo Maria Strambi, Tolentino, Macerata, 62029, Italia</t>
  </si>
  <si>
    <t>PIAZZA TRENTA APRILE</t>
  </si>
  <si>
    <t>PIAZZA TRENTA APRILE, Macerata, MC, Italia</t>
  </si>
  <si>
    <t>RAMPA ZARA</t>
  </si>
  <si>
    <t>RAMPA ZARA, Macerata, MC, Italia</t>
  </si>
  <si>
    <t>Rampa Zara, Centro storico, Macerata, Marche, 62100, Italia</t>
  </si>
  <si>
    <t>SCALINATA MONACHESI SANTE</t>
  </si>
  <si>
    <t>SCALINATA MONACHESI SANTE, Macerata, MC, Italia</t>
  </si>
  <si>
    <t>Scalinata Sante Monachesi, Centro storico, Macerata, 62100, Italia</t>
  </si>
  <si>
    <t>TRAVERSA ARMAROLI LEOPOLDO</t>
  </si>
  <si>
    <t>TRAVERSA ARMAROLI LEOPOLDO, Macerata, MC, Italia</t>
  </si>
  <si>
    <t>Traversa Leopoldo Armaroli, Centro storico, Macerata, 62100, Italia</t>
  </si>
  <si>
    <t>VIA ARMAROLI LEOPOLDO</t>
  </si>
  <si>
    <t>VIA ARMAROLI LEOPOLDO, Macerata, MC, Italia</t>
  </si>
  <si>
    <t>Via Leopoldo Armaroli, Centro storico, Macerata, Marche, 62100, Italia</t>
  </si>
  <si>
    <t>VIA BASILI BASILIO</t>
  </si>
  <si>
    <t>VIA BASILI BASILIO, Macerata, MC, Italia</t>
  </si>
  <si>
    <t>Via Basilio Basili, Centro storico, Macerata, Marche, 62100, Italia</t>
  </si>
  <si>
    <t>VIA BERARDI VINCENZO</t>
  </si>
  <si>
    <t>VIA BERARDI VINCENZO, Macerata, MC, Italia</t>
  </si>
  <si>
    <t>Via Vincenzo Berardi, Centro storico, Macerata, Marche, 62100, Italia</t>
  </si>
  <si>
    <t>VIA BUONACCORSI BUONACCORSO</t>
  </si>
  <si>
    <t>VIA BUONACCORSI BUONACCORSO, Macerata, MC, Italia</t>
  </si>
  <si>
    <t>Via Buonaccorso Buonaccorsi, Centro storico, Macerata, Marche, 62100, Italia</t>
  </si>
  <si>
    <t>VIA CICCARELLI FRATELLI</t>
  </si>
  <si>
    <t>VIA CICCARELLI FRATELLI, Macerata, MC, Italia</t>
  </si>
  <si>
    <t>Via Fratelli Ciccarelli, Centro storico, Macerata, 62100, Italia</t>
  </si>
  <si>
    <t>VIA CRISPI FRANCESCO - (con civici dispari da 9 a 89 - con civici pari da 6 a 76)</t>
  </si>
  <si>
    <t>VIA CRISPI FRANCESCO</t>
  </si>
  <si>
    <t>VIA CRISPI FRANCESCO 6, Macerata, MC, Italia</t>
  </si>
  <si>
    <t>Via Francesco Crispi, Centro storico, Macerata, Marche, 62100, Italia</t>
  </si>
  <si>
    <t>VIA CRISPI FRANCESCO 9, Macerata, MC, Italia</t>
  </si>
  <si>
    <t>VIA DEI SIBILLINI</t>
  </si>
  <si>
    <t>VIA DEI SIBILLINI, Macerata, MC, Italia</t>
  </si>
  <si>
    <t>Via dei Sibillini, Tribunale, Macerata, Marche, 62100, Italia</t>
  </si>
  <si>
    <t>VIA DELL'ASILO</t>
  </si>
  <si>
    <t>VIA DELL'ASILO, Macerata, MC, Italia</t>
  </si>
  <si>
    <t>Via dell'Asilo, Borgo San Giuliano, Macerata, Marche, 62100, Italia</t>
  </si>
  <si>
    <t>VIA GIOBERTI VINCENZO</t>
  </si>
  <si>
    <t>VIA GIOBERTI VINCENZO, Macerata, MC, Italia</t>
  </si>
  <si>
    <t>Via Vincenzo Gioberti, Borgo San Giuliano, Macerata, Marche, 62100, Italia</t>
  </si>
  <si>
    <t>VIA LAURI TOMMASO - (solo civici dispari da 3 fino a 15)</t>
  </si>
  <si>
    <t>VIA LAURI TOMMASO</t>
  </si>
  <si>
    <t>VIA LAURI TOMMASO 3, Macerata, MC, Italia</t>
  </si>
  <si>
    <t>Via Tommaso Lauri, Centro storico, Macerata, Marche, 62100, Italia</t>
  </si>
  <si>
    <t>VIA MACERATA - (con civici dispari 1/C/O PA - con civici pari 2/C/POS,6,8,10/VEDI)</t>
  </si>
  <si>
    <t>VIA MACERATA</t>
  </si>
  <si>
    <t>VIA MACERATA 1, Macerata, MC, Italia</t>
  </si>
  <si>
    <t>1, Via Macerata, Porto Recanati, Macerata, 62017, Italia</t>
  </si>
  <si>
    <t>VIA MACERATA 2, Macerata, MC, Italia</t>
  </si>
  <si>
    <t>2, Via Macerata, Porto Recanati, Macerata, 62017, Italia</t>
  </si>
  <si>
    <t>VIA MINZONI DON GIOVANNI</t>
  </si>
  <si>
    <t>VIA MINZONI DON GIOVANNI, Macerata, MC, Italia</t>
  </si>
  <si>
    <t>VIA PESCHERIA VECCHIA</t>
  </si>
  <si>
    <t>VIA PESCHERIA VECCHIA, Macerata, MC, Italia</t>
  </si>
  <si>
    <t>Via Pescheria Vecchia, Centro storico, Macerata, Marche, 62100, Italia</t>
  </si>
  <si>
    <t>VIA RICCI PADRE MATTEO</t>
  </si>
  <si>
    <t>VIA RICCI PADRE MATTEO, Macerata, MC, Italia</t>
  </si>
  <si>
    <t>Via Padre Matteo Ricci, Centro storico, Macerata, Marche, 62100, Italia</t>
  </si>
  <si>
    <t>VIA ROSSI LAURO</t>
  </si>
  <si>
    <t>VIA ROSSI LAURO, Macerata, MC, Italia</t>
  </si>
  <si>
    <t>Via Lauro Rossi, Centro storico, Macerata, Marche, 62100, Italia</t>
  </si>
  <si>
    <t>VIA SANTA MARIA DELLA PORTA</t>
  </si>
  <si>
    <t>VIA SANTA MARIA DELLA PORTA, Macerata, MC, Italia</t>
  </si>
  <si>
    <t>Via Santa Maria della Porta, Centro storico, Macerata, 62100, Italia</t>
  </si>
  <si>
    <t>VIA TRENTA APRILE</t>
  </si>
  <si>
    <t>VIA TRENTA APRILE, Macerata, MC, Italia</t>
  </si>
  <si>
    <t>VIA VINCIGUERRA IRENEO</t>
  </si>
  <si>
    <t>VIA VINCIGUERRA IRENEO, Macerata, MC, Italia</t>
  </si>
  <si>
    <t>Via Ireneo Vinciguerra, Tre Vie, Santa Croce, Macerata, Marche, 62100, Italia</t>
  </si>
  <si>
    <t>VIA VITTIME DELLE FOIBE</t>
  </si>
  <si>
    <t>VIA VITTIME DELLE FOIBE, Macerata, MC, Italia</t>
  </si>
  <si>
    <t>Via Vittime delle Foibe, Montanello, Villa Potenza, Macerata, 62100, Italia</t>
  </si>
  <si>
    <t>VICOLO CASARINO</t>
  </si>
  <si>
    <t>VICOLO CASARINO, Macerata, MC, Italia</t>
  </si>
  <si>
    <t>Vicolo del Casarino, Centro storico, Macerata, 62100, Italia</t>
  </si>
  <si>
    <t>VICOLO CASSINI MODESTINO</t>
  </si>
  <si>
    <t>VICOLO CASSINI MODESTINO, Macerata, MC, Italia</t>
  </si>
  <si>
    <t>Vicolo Modestino Cassini, Centro storico, Macerata, Marche, 62100, Italia</t>
  </si>
  <si>
    <t>VICOLO COMPAGNONI CAMILLO</t>
  </si>
  <si>
    <t>VICOLO COMPAGNONI CAMILLO, Macerata, MC, Italia</t>
  </si>
  <si>
    <t>Vicolo Camillo Compagnoni, Centro storico, Macerata, 62100, Italia</t>
  </si>
  <si>
    <t>VICOLO DEGLI ORTI</t>
  </si>
  <si>
    <t>VICOLO DEGLI ORTI, Macerata, MC, Italia</t>
  </si>
  <si>
    <t>Vicolo degli Orti, Centro storico, Macerata, Marche, 62100, Italia</t>
  </si>
  <si>
    <t>VICOLO DEI CATENATI</t>
  </si>
  <si>
    <t>VICOLO DEI CATENATI, Macerata, MC, Italia</t>
  </si>
  <si>
    <t>Vicolo dei Catenati, Centro storico, Macerata, Marche, 62100, Italia</t>
  </si>
  <si>
    <t>VICOLO DELLA ROTA</t>
  </si>
  <si>
    <t>VICOLO DELLA ROTA, Macerata, MC, Italia</t>
  </si>
  <si>
    <t>Vicolo della Rota, Centro storico, Macerata, 62100, Italia</t>
  </si>
  <si>
    <t>VICOLO DELLE SCUOLE</t>
  </si>
  <si>
    <t>VICOLO DELLE SCUOLE, Macerata, MC, Italia</t>
  </si>
  <si>
    <t>Vicolo delle Scuole, Centro storico, Macerata, 62100, Italia</t>
  </si>
  <si>
    <t>VICOLO DELLO SFERISTERIO</t>
  </si>
  <si>
    <t>VICOLO DELLO SFERISTERIO, Macerata, MC, Italia</t>
  </si>
  <si>
    <t>VICOLO FERRARI ANTONIO</t>
  </si>
  <si>
    <t>VICOLO FERRARI ANTONIO, Macerata, MC, Italia</t>
  </si>
  <si>
    <t>Vicolo Antonio Ferrari, Centro storico, Macerata, Marche, 62100, Italia</t>
  </si>
  <si>
    <t>VICOLO FERRI OTTAVIO</t>
  </si>
  <si>
    <t>VICOLO FERRI OTTAVIO, Macerata, MC, Italia</t>
  </si>
  <si>
    <t>Vicolo Ottavio Ferri, Centro storico, Macerata, 62100, Italia</t>
  </si>
  <si>
    <t>VICOLO FRATI BARNABITI</t>
  </si>
  <si>
    <t>VICOLO FRATI BARNABITI, Macerata, MC, Italia</t>
  </si>
  <si>
    <t>Vicolo Frati Barnabiti, Centro storico, Macerata, Marche, 62100, Italia</t>
  </si>
  <si>
    <t>VICOLO LAZZARINI DOMENICO</t>
  </si>
  <si>
    <t>VICOLO LAZZARINI DOMENICO, Macerata, MC, Italia</t>
  </si>
  <si>
    <t>Vicolo Domenico Lazzarini, Centro storico, Macerata, 62100, Italia</t>
  </si>
  <si>
    <t>VICOLO MAREFOSCHI MARIO</t>
  </si>
  <si>
    <t>VICOLO MAREFOSCHI MARIO, Macerata, MC, Italia</t>
  </si>
  <si>
    <t>Vicolo Mario Marefoschi, Centro storico, Macerata, Marche, 62100, Italia</t>
  </si>
  <si>
    <t>VICOLO RANALDI IGNAZIO</t>
  </si>
  <si>
    <t>VICOLO RANALDI IGNAZIO, Macerata, MC, Italia</t>
  </si>
  <si>
    <t>Vicolo Ignazio Ranaldi, Centro storico, Macerata, Marche, 62100, Italia</t>
  </si>
  <si>
    <t>VICOLO SAN CARLO BORROMEO</t>
  </si>
  <si>
    <t>VICOLO SAN CARLO BORROMEO, Macerata, MC, Italia</t>
  </si>
  <si>
    <t>Vicolo San Carlo Borromeo, Centro storico, Macerata, Marche, 62100, Italia</t>
  </si>
  <si>
    <t>VICOLO SPADA-LAVINI FILIPPO</t>
  </si>
  <si>
    <t>VICOLO SPADA</t>
  </si>
  <si>
    <t>VICOLO SPADA, Macerata, MC, Italia</t>
  </si>
  <si>
    <t>Vicolo Filippo Spada-Lavini, Borgo San Giuliano, Macerata, Marche, 62100, Italia</t>
  </si>
  <si>
    <t>VICOLO SQUARCIA TOMMASO</t>
  </si>
  <si>
    <t>VICOLO SQUARCIA TOMMASO, Macerata, MC, Italia</t>
  </si>
  <si>
    <t>Vicolo Tommaso Squarcia, Borgo San Giuliano, Macerata, Marche, 62100, Italia</t>
  </si>
  <si>
    <t>VICOLO ULISSI ANTONIO</t>
  </si>
  <si>
    <t>VICOLO ULISSI ANTONIO, Macerata, MC, Italia</t>
  </si>
  <si>
    <t>CORSO DELLA REPUBBLICA - (solo civico 49)</t>
  </si>
  <si>
    <t>CORSO DELLA REPUBBLICA 49, Macerata, MC, Italia</t>
  </si>
  <si>
    <t>CORSO MATTEOTTI GIACOMO - (solo civici pari da 46 fino a 62)</t>
  </si>
  <si>
    <t>CORSO MATTEOTTI GIACOMO 46, Macerata, MC, Italia</t>
  </si>
  <si>
    <t>46, Corso Giacomo Matteotti, Centro storico, Macerata, Marche, 62100, Italia</t>
  </si>
  <si>
    <t>GALLERIA SCIPIONE</t>
  </si>
  <si>
    <t>GALLERIA SCIPIONE, Macerata, MC, Italia</t>
  </si>
  <si>
    <t>Galleria Scipione, Centro storico, Macerata, 62100, Italia</t>
  </si>
  <si>
    <t>LARGO AFFEDE MARIO</t>
  </si>
  <si>
    <t>LARGO AFFEDE MARIO, Macerata, MC, Italia</t>
  </si>
  <si>
    <t>Largo Mario Affede, Tribunale, Macerata, 62100, Italia</t>
  </si>
  <si>
    <t>LARGO AURISPA NARCISO</t>
  </si>
  <si>
    <t>LARGO AURISPA NARCISO, Macerata, MC, Italia</t>
  </si>
  <si>
    <t>Largo Narciso Aurispa, Tribunale, Macerata, Marche, 62100, Italia</t>
  </si>
  <si>
    <t>LARGO BELIGATTI PADRE CASSIANO</t>
  </si>
  <si>
    <t>LARGO BELIGATTI PADRE CASSIANO, Macerata, MC, Italia</t>
  </si>
  <si>
    <t>Largo Padre Cassiano Beligatti, Tribunale, Macerata, 62100, Italia</t>
  </si>
  <si>
    <t>PIAGGIA FLORIANI POMPEO E PIETRO PAOLO</t>
  </si>
  <si>
    <t>PIAGGIA FLORIANI POMPEO E PIETRO PAOLO, Macerata, MC, Italia</t>
  </si>
  <si>
    <t>PIAZZA ANNESSIONE</t>
  </si>
  <si>
    <t>PIAZZA ANNESSIONE, Macerata, MC, Italia</t>
  </si>
  <si>
    <t>Piazza Annessione, Tre Vie, Fonte Scodella, Macerata, Marche, Italia</t>
  </si>
  <si>
    <t>PIAZZA BATTISTI CESARE - (solo civici dispari da 1 fino a 11)</t>
  </si>
  <si>
    <t>PIAZZA BATTISTI CESARE 1, Macerata, MC, Italia</t>
  </si>
  <si>
    <t>PIAZZA OBERDAN GUGLIELMO</t>
  </si>
  <si>
    <t>PIAZZA OBERDAN GUGLIELMO, Macerata, MC, Italia</t>
  </si>
  <si>
    <t>Piazza Guglielmo Oberdan, Centro storico, Macerata, 62100, Italia</t>
  </si>
  <si>
    <t>PIAZZA PIZZARELLO UGO - (con civici dispari da 3 a 5 - con civici pari da 10 a 18)</t>
  </si>
  <si>
    <t>PIAZZA PIZZARELLO UGO</t>
  </si>
  <si>
    <t>PIAZZA PIZZARELLO UGO 3, Macerata, MC, Italia</t>
  </si>
  <si>
    <t>Piazza Ugo Pizzarello, Tre Vie, Fonte Scodella, Macerata, Marche, 62100, Italia</t>
  </si>
  <si>
    <t>PIAZZA PIZZARELLO UGO 10, Macerata, MC, Italia</t>
  </si>
  <si>
    <t>Piazza Ugo Pizzarello, Tre Vie, Fonte Scodella, Macerata, 62100, Italia</t>
  </si>
  <si>
    <t>PIAZZA VITTORIO VENETO</t>
  </si>
  <si>
    <t>PIAZZA VITTORIO VENETO, Macerata, MC, Italia</t>
  </si>
  <si>
    <t>Piazza Vittorio Veneto, Centro storico, Macerata, 62100, Italia</t>
  </si>
  <si>
    <t>VIA CADORNA LUIGI</t>
  </si>
  <si>
    <t>VIA CADORNA LUIGI, Macerata, MC, Italia</t>
  </si>
  <si>
    <t>Via Luigi Cadorna, Tre Vie, Fonte Scodella, Macerata, Marche, 62100, Italia</t>
  </si>
  <si>
    <t>VIA COSTA CESARE</t>
  </si>
  <si>
    <t>VIA COSTA CESARE, Macerata, MC, Italia</t>
  </si>
  <si>
    <t>Via Cesare Costa, Centro storico, Macerata, Marche, 62100, Italia</t>
  </si>
  <si>
    <t>VIA CRESCIMBENI GIOVANNI MARIO</t>
  </si>
  <si>
    <t>VIA CRESCIMBENI GIOVANNI MARIO, Macerata, MC, Italia</t>
  </si>
  <si>
    <t>Via Giovanni Mario Crescimbeni, Centro storico, Macerata, Marche, 62100, Italia</t>
  </si>
  <si>
    <t>VIA CRISPI FRANCESCO - (con civici dispari da 113 a 165 - con civici pari da 78 a 120)</t>
  </si>
  <si>
    <t>VIA CRISPI FRANCESCO 113, Macerata, MC, Italia</t>
  </si>
  <si>
    <t>VIA CRISPI FRANCESCO 78, Macerata, MC, Italia</t>
  </si>
  <si>
    <t>VIA DE VICO FRANCESCO</t>
  </si>
  <si>
    <t>VIA DE VICO FRANCESCO, Macerata, MC, Italia</t>
  </si>
  <si>
    <t>Via Francesco De Vico, Centro storico, Macerata, 62100, Italia</t>
  </si>
  <si>
    <t>VIA DEI GIARDINI</t>
  </si>
  <si>
    <t>VIA DEI GIARDINI, Macerata, MC, Italia</t>
  </si>
  <si>
    <t>Via dei Giardini, Tre Vie, Tribunale, Macerata, Marche, 62100, Italia</t>
  </si>
  <si>
    <t>VIA DEL CONVITTO</t>
  </si>
  <si>
    <t>VIA DEL CONVITTO, Macerata, MC, Italia</t>
  </si>
  <si>
    <t>Via del Convitto, Tribunale, Macerata, Marche, 62100, Italia</t>
  </si>
  <si>
    <t>VIA DELLE ORFANE</t>
  </si>
  <si>
    <t>VIA DELLE ORFANE, Macerata, MC, Italia</t>
  </si>
  <si>
    <t>Via delle Orfane, Tribunale, Macerata, Marche, 62100, Italia</t>
  </si>
  <si>
    <t>VIA EMANUELE FILIBERTO - (con civici dispari da 1 a 21 - con civici pari da 2 a 6)</t>
  </si>
  <si>
    <t>VIA EMANUELE FILIBERTO</t>
  </si>
  <si>
    <t>VIA EMANUELE FILIBERTO 1, Macerata, MC, Italia</t>
  </si>
  <si>
    <t>Via Emanuele Filiberto, Tre Vie, Fonte Scodella, Macerata, Marche, 62100, Italia</t>
  </si>
  <si>
    <t>VIA EMANUELE FILIBERTO 2, Macerata, MC, Italia</t>
  </si>
  <si>
    <t>VIA GARIBALDI GIUSEPPE</t>
  </si>
  <si>
    <t>VIA GARIBALDI GIUSEPPE, Macerata, MC, Italia</t>
  </si>
  <si>
    <t>Via Giuseppe Garibaldi, Centro storico, Macerata, Marche, 62100, Italia</t>
  </si>
  <si>
    <t>VIA GRAMSCI ANTONIO</t>
  </si>
  <si>
    <t>VIA GRAMSCI ANTONIO, Macerata, MC, Italia</t>
  </si>
  <si>
    <t>Via Antonio Gramsci, Centro storico, Macerata, Marche, 62100, Italia</t>
  </si>
  <si>
    <t>VIA ILLUMINATI ANTONIO</t>
  </si>
  <si>
    <t>VIA ILLUMINATI ANTONIO, Macerata, MC, Italia</t>
  </si>
  <si>
    <t>Via Antonio Illuminati, Tribunale, Macerata, Marche, 62100, Italia</t>
  </si>
  <si>
    <t>VIA LAURI TOMMASO - (solo civici pari da 6 fino a 26)</t>
  </si>
  <si>
    <t>VIA LAURI TOMMASO 6, Macerata, MC, Italia</t>
  </si>
  <si>
    <t>Hotel Lauri, 6, Via Tommaso Lauri, Centro storico, Macerata, Marche, 62100, Italia</t>
  </si>
  <si>
    <t>VIA MOZZI GIUSEPPE E BARTOLOMEO</t>
  </si>
  <si>
    <t>VIA MOZZI GIUSEPPE E BARTOLOMEO, Macerata, MC, Italia</t>
  </si>
  <si>
    <t>VIA RICCI DOMENICO</t>
  </si>
  <si>
    <t>VIA RICCI DOMENICO, Macerata, MC, Italia</t>
  </si>
  <si>
    <t>Via Domenico Ricci, Centro storico, Macerata, 62100, Italia</t>
  </si>
  <si>
    <t>VIA ROSSI DOMENICO - (solo civico 10)</t>
  </si>
  <si>
    <t>VIA ROSSI DOMENICO</t>
  </si>
  <si>
    <t>VIA ROSSI DOMENICO 10, Macerata, MC, Italia</t>
  </si>
  <si>
    <t>Via Domenico Rossi, Fonte Scodella, Macerata, Marche, 62100, Italia</t>
  </si>
  <si>
    <t>VIA VENTI SETTEMBRE</t>
  </si>
  <si>
    <t>VIA VENTI SETTEMBRE, Macerata, MC, Italia</t>
  </si>
  <si>
    <t>Via Venti Settembre, Centro storico, Macerata, Marche, 62100, Italia</t>
  </si>
  <si>
    <t>VIALE PUCCINOTTI FRANCESCO</t>
  </si>
  <si>
    <t>VIALE PUCCINOTTI FRANCESCO, Macerata, MC, Italia</t>
  </si>
  <si>
    <t>Viale Francesco Puccinotti, Tre Vie, Tribunale, Macerata, 62100, Italia</t>
  </si>
  <si>
    <t>VICOLO ABBONDANZA</t>
  </si>
  <si>
    <t>VICOLO ABBONDANZA, Macerata, MC, Italia</t>
  </si>
  <si>
    <t>Vicolo Abbondanza, Tribunale, Macerata, Marche, 62100, Italia</t>
  </si>
  <si>
    <t>VICOLO ACCORRETTI GIOVANNI</t>
  </si>
  <si>
    <t>VICOLO ACCORRETTI GIOVANNI, Macerata, MC, Italia</t>
  </si>
  <si>
    <t>Vicolo Giovanni Accorretti, Tribunale, Macerata, Marche, 62100, Italia</t>
  </si>
  <si>
    <t>VICOLO ANGELUCCI CLAUDIO</t>
  </si>
  <si>
    <t>VICOLO ANGELUCCI CLAUDIO, Macerata, MC, Italia</t>
  </si>
  <si>
    <t>Vicolo Claudio Angelucci, Centro storico, Macerata, Marche, 62100, Italia</t>
  </si>
  <si>
    <t>VICOLO BERNARDINI FRANCESCO</t>
  </si>
  <si>
    <t>VICOLO BERNARDINI FRANCESCO, Macerata, MC, Italia</t>
  </si>
  <si>
    <t>Vicolo Francesco Bernardini, Centro storico, Macerata, Marche, 62100, Italia</t>
  </si>
  <si>
    <t>VICOLO COLTELLI PAOLO</t>
  </si>
  <si>
    <t>VICOLO COLTELLI PAOLO, Macerata, MC, Italia</t>
  </si>
  <si>
    <t>Vicolo Paolo Coltelli, Tribunale, Macerata, 62100, Italia</t>
  </si>
  <si>
    <t>VICOLO CONSALVI PELLEGRINO</t>
  </si>
  <si>
    <t>VICOLO CONSALVI PELLEGRINO, Macerata, MC, Italia</t>
  </si>
  <si>
    <t>Vicolo Pellegrino Consalvi, Centro storico, Macerata, Marche, 62100, Italia</t>
  </si>
  <si>
    <t>VICOLO DEL PONTE</t>
  </si>
  <si>
    <t>VICOLO DEL PONTE, Macerata, MC, Italia</t>
  </si>
  <si>
    <t>Vicolo del Ponte, Centro storico, Macerata, Marche, 62100, Italia</t>
  </si>
  <si>
    <t>VICOLO MONACHESI LUIGI</t>
  </si>
  <si>
    <t>VICOLO MONACHESI LUIGI, Macerata, MC, Italia</t>
  </si>
  <si>
    <t>Vicolo Luigi Monachesi, Centro storico, Macerata, Marche, 62100, Italia</t>
  </si>
  <si>
    <t>VICOLO RINCHIOSTRO</t>
  </si>
  <si>
    <t>VICOLO RINCHIOSTRO, Macerata, MC, Italia</t>
  </si>
  <si>
    <t>Vicolo Rinchiostro, Centro storico, Macerata, Marche, 62100, Italia</t>
  </si>
  <si>
    <t>VICOLO SAN LORENZO</t>
  </si>
  <si>
    <t>VICOLO SAN LORENZO, Macerata, MC, Italia</t>
  </si>
  <si>
    <t>Vicolo San Lorenzo, Tribunale, Macerata, Marche, 62100, Italia</t>
  </si>
  <si>
    <t>VICOLO SANTA FIORA VINCENZA</t>
  </si>
  <si>
    <t>VICOLO SANTA FIORA VINCENZA, Macerata, MC, Italia</t>
  </si>
  <si>
    <t>Vicolo Santa Fiora Vincenza, Centro storico, Macerata, Marche, 62100, Italia</t>
  </si>
  <si>
    <t>VICOLO TORNABUONI FILIPPO</t>
  </si>
  <si>
    <t>VICOLO TORNABUONI FILIPPO, Macerata, MC, Italia</t>
  </si>
  <si>
    <t>Vicolo Filippo Tornabuoni, Centro storico, Macerata, Marche, 62100, Italia</t>
  </si>
  <si>
    <t>VICOLO TORRI GASPARE</t>
  </si>
  <si>
    <t>VICOLO TORRI GASPARE, Macerata, MC, Italia</t>
  </si>
  <si>
    <t>Vicolo Gaspare Torri, Centro storico, Macerata, Marche, 62100, Italia</t>
  </si>
  <si>
    <t>VICOLO TRIBUNALI</t>
  </si>
  <si>
    <t>VICOLO TRIBUNALI, Macerata, MC, Italia</t>
  </si>
  <si>
    <t>Vicolo Tribunali, Centro storico, Macerata, Marche, 62100, Italia</t>
  </si>
  <si>
    <t>VICOLO VISCARDI LUIGI</t>
  </si>
  <si>
    <t>VICOLO VISCARDI LUIGI, Macerata, MC, Italia</t>
  </si>
  <si>
    <t>Vicolo Luigi Viscardi, Centro storico, Macerata, Marche, 62100, Italia</t>
  </si>
  <si>
    <t>PIAZZA MARCONI GUGLIELMO</t>
  </si>
  <si>
    <t>PIAZZA MARCONI GUGLIELMO, Macerata, MC, Italia</t>
  </si>
  <si>
    <t>Piazza Guglielmo Marconi, Tribunale, Macerata, Marche, 62100, Italia</t>
  </si>
  <si>
    <t>VIA ALIGHIERI DANTE - (solo civici dispari da 7 fino a 23)</t>
  </si>
  <si>
    <t>VIA ALIGHIERI DANTE</t>
  </si>
  <si>
    <t>VIA ALIGHIERI DANTE 7, Macerata, MC, Italia</t>
  </si>
  <si>
    <t>7, Via Dante Alighieri, Tribunale, Macerata, Marche, 62100, Italia</t>
  </si>
  <si>
    <t>VIA DUECENTOVENTISEIESIMO REGGIMENTO FANTERIA</t>
  </si>
  <si>
    <t>VIA DUECENTOVENTISEIESIMO REGGIMENTO FANTERIA, Macerata, MC, Italia</t>
  </si>
  <si>
    <t>VIA FOSCOLO UGO - (con civici dispari da 23 a 75 - con civici pari da 4 a 16)</t>
  </si>
  <si>
    <t>VIA FOSCOLO UGO</t>
  </si>
  <si>
    <t>VIA FOSCOLO UGO 23, Macerata, MC, Italia</t>
  </si>
  <si>
    <t>23, Via Ugo Foscolo, Tribunale, Macerata, Marche, 62100, Italia</t>
  </si>
  <si>
    <t>VIA FOSCOLO UGO 4, Macerata, MC, Italia</t>
  </si>
  <si>
    <t>4, Via Ugo Foscolo, San Giuseppe, San Marone, Civitanova Marche, Macerata, Marche, 62012, Italia</t>
  </si>
  <si>
    <t>VIA FRANCESCHI-FERRUCCI CATERINA</t>
  </si>
  <si>
    <t>VIA FRANCESCHI</t>
  </si>
  <si>
    <t>VIA FRANCESCHI, Macerata, MC, Italia</t>
  </si>
  <si>
    <t>Via Caterina Franceschi Ferrucci, Tribunale, Macerata, Marche, 62100, Italia</t>
  </si>
  <si>
    <t>VIA ISONZO - (solo civico 1)</t>
  </si>
  <si>
    <t>VIA ISONZO</t>
  </si>
  <si>
    <t>VIA ISONZO 1, Macerata, MC, Italia</t>
  </si>
  <si>
    <t>1, Via Isonzo, San Giuseppe, Centro, Civitanova Marche, Macerata, Marche, 62012, Italia</t>
  </si>
  <si>
    <t>VIA MAMELI GOFFREDO - (con civici dispari da 1 a 37 - con civici pari da 6 a 14)</t>
  </si>
  <si>
    <t>VIA MAMELI GOFFREDO</t>
  </si>
  <si>
    <t>VIA MAMELI GOFFREDO 1, Macerata, MC, Italia</t>
  </si>
  <si>
    <t>1, Via Goffredo Mameli, Centro, Civitanova Marche, Macerata, Marche, 62012, Italia</t>
  </si>
  <si>
    <t>VIA MAMELI GOFFREDO 6, Macerata, MC, Italia</t>
  </si>
  <si>
    <t>6, Via Goffredo Mameli, Montecosaro Scalo, Montecosaro, Macerata, Marche, 62010, Italia</t>
  </si>
  <si>
    <t>VIA MANZONI ALESSANDRO - (con civici dispari da 25 a 105 - con civici pari da 2 a 30)</t>
  </si>
  <si>
    <t>VIA MANZONI ALESSANDRO</t>
  </si>
  <si>
    <t>VIA MANZONI ALESSANDRO 25, Macerata, MC, Italia</t>
  </si>
  <si>
    <t>25, Via Alessandro Manzoni, San Giuseppe, San Marone, Civitanova Marche, Macerata, Marche, 62012, Italia</t>
  </si>
  <si>
    <t>VIA MANZONI ALESSANDRO 2, Macerata, MC, Italia</t>
  </si>
  <si>
    <t>2, Via Alessandro Manzoni, San Giuseppe, San Marone, Civitanova Marche, Macerata, Marche, 62012, Italia</t>
  </si>
  <si>
    <t>VIA PELLICO SILVIO</t>
  </si>
  <si>
    <t>VIA PELLICO SILVIO, Macerata, MC, Italia</t>
  </si>
  <si>
    <t>Via Silvio Pellico, Tribunale, Macerata, Marche, 62100, Italia</t>
  </si>
  <si>
    <t>VIALE PIAVE - (con civici dispari da 11 a 41 - con civici pari da 54 a 66)</t>
  </si>
  <si>
    <t>VIALE PIAVE</t>
  </si>
  <si>
    <t>VIALE PIAVE 11, Macerata, MC, Italia</t>
  </si>
  <si>
    <t>Viale Piave, Tribunale, Macerata, 62100, Italia</t>
  </si>
  <si>
    <t>VIALE PIAVE 54, Macerata, MC, Italia</t>
  </si>
  <si>
    <t>PIAZZALE PESCHI UMBERTO</t>
  </si>
  <si>
    <t>PIAZZALE PESCHI UMBERTO, Macerata, MC, Italia</t>
  </si>
  <si>
    <t>Piazzale Umberto Peschi, Tribunale, Macerata, 62100, Italia</t>
  </si>
  <si>
    <t>VIA ASCOLI PICENO</t>
  </si>
  <si>
    <t>VIA ASCOLI PICENO, Macerata, MC, Italia</t>
  </si>
  <si>
    <t>Via Ascoli Piceno, Tribunale, Macerata, Marche, 62100, Italia</t>
  </si>
  <si>
    <t>VIA BARILATTI ACHILLE - (con civici dispari da 43 a 49 - con civici pari da 28 a 52)</t>
  </si>
  <si>
    <t>VIA BARILATTI ACHILLE</t>
  </si>
  <si>
    <t>VIA BARILATTI ACHILLE 43, Macerata, MC, Italia</t>
  </si>
  <si>
    <t>Via Achille Barilatti, Tribunale, Macerata, Marche, 62100, Italia</t>
  </si>
  <si>
    <t>VIA BARILATTI ACHILLE 28, Macerata, MC, Italia</t>
  </si>
  <si>
    <t>VIA BATA' MARIO</t>
  </si>
  <si>
    <t>VIA BATA' MARIO, Macerata, MC, Italia</t>
  </si>
  <si>
    <t>Via Mario Batà, Tribunale, Macerata, Marche, 62100, Italia</t>
  </si>
  <si>
    <t>VIA BRIGATA MACERATA - (con civici dispari da 101 a 103 - con civici pari da 54 a 82)</t>
  </si>
  <si>
    <t>VIA BRIGATA MACERATA</t>
  </si>
  <si>
    <t>VIA BRIGATA MACERATA 54, Macerata, MC, Italia</t>
  </si>
  <si>
    <t>Via Brigata Macerata, Fonte Scodella, Macerata, 62100, Italia</t>
  </si>
  <si>
    <t>VIA BRIGATA MACERATA 101, Macerata, MC, Italia</t>
  </si>
  <si>
    <t>VIA CAPUZI PIETRO</t>
  </si>
  <si>
    <t>VIA CAPUZI PIETRO, Macerata, MC, Italia</t>
  </si>
  <si>
    <t>Via Capuzi, Via Pietro Capuzi, Tribunale, Macerata, Marche, 62100, Italia</t>
  </si>
  <si>
    <t>VIA CICCOLINI ARTURO</t>
  </si>
  <si>
    <t>VIA CICCOLINI ARTURO, Macerata, MC, Italia</t>
  </si>
  <si>
    <t>Via Arturo Ciccolini, Tribunale, Macerata, Marche, 62100, Italia</t>
  </si>
  <si>
    <t>VIA DELLE MEDAGLIE D'ORO - (solo civici pari da 2 fino a 62)</t>
  </si>
  <si>
    <t>VIA DELLE MEDAGLIE D'ORO</t>
  </si>
  <si>
    <t>VIA DELLE MEDAGLIE D'ORO 2, Macerata, MC, Italia</t>
  </si>
  <si>
    <t>VIA ERCOLANI CARLO - (con civici dispari da 1 a 9 - con civici pari da 2/A a 2/B)</t>
  </si>
  <si>
    <t>VIA ERCOLANI CARLO</t>
  </si>
  <si>
    <t>VIA ERCOLANI CARLO 1, Macerata, MC, Italia</t>
  </si>
  <si>
    <t>Via Carlo Ercolani, Tribunale, Macerata, 62100, Italia</t>
  </si>
  <si>
    <t>VIA ERCOLANI CARLO 2, Macerata, MC, Italia</t>
  </si>
  <si>
    <t>VIA MAMELI GOFFREDO - (solo civico 24)</t>
  </si>
  <si>
    <t>VIA MAMELI GOFFREDO 24, Macerata, MC, Italia</t>
  </si>
  <si>
    <t>Via Goffredo Mameli, Fonte Scodella, Macerata, Marche, 62100, Italia</t>
  </si>
  <si>
    <t>VIA MANZONI ALESSANDRO - (solo civici pari da 36 fino a 104)</t>
  </si>
  <si>
    <t>VIA MANZONI ALESSANDRO 36, Macerata, MC, Italia</t>
  </si>
  <si>
    <t>36, Via Alessandro Manzoni, San Giuseppe, San Marone, Civitanova Marche, Macerata, Marche, 62012, Italia</t>
  </si>
  <si>
    <t>VIA MATTEI ENRICO - (solo civico 20)</t>
  </si>
  <si>
    <t>VIA MATTEI ENRICO</t>
  </si>
  <si>
    <t>VIA MATTEI ENRICO 20, Macerata, MC, Italia</t>
  </si>
  <si>
    <t>20, Via Enrico Mattei, Località Casette, Montecosaro Scalo, Montecosaro, Macerata, 62010, Italia</t>
  </si>
  <si>
    <t>VIA PESARO</t>
  </si>
  <si>
    <t>VIA PESARO, Macerata, MC, Italia</t>
  </si>
  <si>
    <t>Via Pesaro, Tribunale, Macerata, Marche, 62100, Italia</t>
  </si>
  <si>
    <t>CONTRADA FONTESCODELLA - (solo civici pari da 36 fino a 36/B)</t>
  </si>
  <si>
    <t>CONTRADA FONTESCODELLA</t>
  </si>
  <si>
    <t>CONTRADA FONTESCODELLA 36, Macerata, MC, Italia</t>
  </si>
  <si>
    <t>PIAZZALE SERRA MAURIZIO</t>
  </si>
  <si>
    <t>PIAZZALE SERRA MAURIZIO, Macerata, MC, Italia</t>
  </si>
  <si>
    <t>Piazzale Maurizio Serra, Fonte Scodella, Macerata, 62100, Italia</t>
  </si>
  <si>
    <t>STRADA COMUNALE TORREGIANA</t>
  </si>
  <si>
    <t>STRADA COMUNALE TORREGIANA, Macerata, MC, Italia</t>
  </si>
  <si>
    <t>VIA BARILATTI ACHILLE - (solo civici dispari da 5 fino a 37)</t>
  </si>
  <si>
    <t>VIA BARILATTI ACHILLE 5, Macerata, MC, Italia</t>
  </si>
  <si>
    <t>VIA BRIGATA MACERATA - (con civici dispari da 1 a 71 - con civici pari da 2 a 34)</t>
  </si>
  <si>
    <t>VIA BRIGATA MACERATA 1, Macerata, MC, Italia</t>
  </si>
  <si>
    <t>VIA BRIGATA MACERATA 2, Macerata, MC, Italia</t>
  </si>
  <si>
    <t>2, Via Brigata Macerata, Fonte Scodella, Macerata, 62100, Italia</t>
  </si>
  <si>
    <t>VIA DELLE MEDAGLIE D'ORO - (con civici dispari da 1 a 83 - con civici pari da 4 a 4)</t>
  </si>
  <si>
    <t>VIA DELLE MEDAGLIE D'ORO 1, Macerata, MC, Italia</t>
  </si>
  <si>
    <t>VIA DELLE MEDAGLIE D'ORO 4, Macerata, MC, Italia</t>
  </si>
  <si>
    <t>VIA ERCOLANI CARLO - (solo civici pari da 4 fino a 8)</t>
  </si>
  <si>
    <t>VIA ERCOLANI CARLO 4, Macerata, MC, Italia</t>
  </si>
  <si>
    <t>4, Via Carlo Ercolani, Tribunale, Macerata, 62100, Italia</t>
  </si>
  <si>
    <t>VIA MAMELI GOFFREDO - (con civici dispari da 39 a 89 - con civici pari da 50 a 66)</t>
  </si>
  <si>
    <t>VIA MAMELI GOFFREDO 39, Macerata, MC, Italia</t>
  </si>
  <si>
    <t>39, Via Goffredo Mameli, San Giuseppe, Centro, Civitanova Marche, Macerata, Marche, 62012, Italia</t>
  </si>
  <si>
    <t>VIA MAMELI GOFFREDO 50, Macerata, MC, Italia</t>
  </si>
  <si>
    <t>VIA MUGNOZ ARTURO</t>
  </si>
  <si>
    <t>VIA MUGNOZ ARTURO, Macerata, MC, Italia</t>
  </si>
  <si>
    <t>Via Arturo Mugnoz, Tre Vie, Fonte Scodella, Macerata, Marche, 62100, Italia</t>
  </si>
  <si>
    <t>VIA VALERIO SALVATORE</t>
  </si>
  <si>
    <t>VIA VALERIO SALVATORE, Macerata, MC, Italia</t>
  </si>
  <si>
    <t>Via Valerio Salvatore, Fonte Scodella, Macerata, Marche, 62100, Italia</t>
  </si>
  <si>
    <t>CORSO CAVOUR</t>
  </si>
  <si>
    <t>CORSO CAVOUR, Macerata, MC, Italia</t>
  </si>
  <si>
    <t>Corso Cavour, Tre Vie, Fonte Scodella, Macerata, Marche, 62100, Italia</t>
  </si>
  <si>
    <t>GALLERIA LUZIO ALESSANDRO</t>
  </si>
  <si>
    <t>GALLERIA LUZIO ALESSANDRO, Macerata, MC, Italia</t>
  </si>
  <si>
    <t>Galleria Luzio Alessandro, Tre Vie, Fonte Scodella, Macerata, Marche, 62100, Italia</t>
  </si>
  <si>
    <t>PIAZZA DELLA VITTORIA - (con civici dispari da 1 a 19 - con civici pari da 18 a 18)</t>
  </si>
  <si>
    <t>PIAZZA DELLA VITTORIA</t>
  </si>
  <si>
    <t>PIAZZA DELLA VITTORIA 1, Macerata, MC, Italia</t>
  </si>
  <si>
    <t>Piazza della Vittoria, Corridonia, Macerata, Italia</t>
  </si>
  <si>
    <t>PIAZZA DELLA VITTORIA 18, Macerata, MC, Italia</t>
  </si>
  <si>
    <t>PIAZZA GARIBALDI GIUSEPPE</t>
  </si>
  <si>
    <t>PIAZZA GARIBALDI GIUSEPPE, Macerata, MC, Italia</t>
  </si>
  <si>
    <t>Piazza Giuseppe Garibaldi, Tre Vie, Fonte Scodella, Macerata, Italia</t>
  </si>
  <si>
    <t>PIAZZA PIZZARELLO UGO - (con civici dispari da 21 a 21 - con civici pari da 2 a 2)</t>
  </si>
  <si>
    <t>PIAZZA PIZZARELLO UGO 21, Macerata, MC, Italia</t>
  </si>
  <si>
    <t>PIAZZA PIZZARELLO UGO 2, Macerata, MC, Italia</t>
  </si>
  <si>
    <t>VIA COLLE DI MONTALTO</t>
  </si>
  <si>
    <t>VIA COLLE DI MONTALTO, Macerata, MC, Italia</t>
  </si>
  <si>
    <t>Via Colle di Montalto, Tre Vie, Fonte Scodella, Macerata, Marche, 62100, Italia</t>
  </si>
  <si>
    <t>VIA CORRIDONI FILIPPO</t>
  </si>
  <si>
    <t>VIA CORRIDONI FILIPPO, Macerata, MC, Italia</t>
  </si>
  <si>
    <t>Via Filippo Corridoni, Tre Vie, Fonte Scodella, Macerata, Marche, 62100, Italia</t>
  </si>
  <si>
    <t>VIA EMANUELE FILIBERTO - (solo civici pari da 8 fino a 22)</t>
  </si>
  <si>
    <t>VIA EMANUELE FILIBERTO 8, Macerata, MC, Italia</t>
  </si>
  <si>
    <t>VIA MORBIDUCCI MARIO</t>
  </si>
  <si>
    <t>VIA MORBIDUCCI MARIO, Macerata, MC, Italia</t>
  </si>
  <si>
    <t>Via Mario Morbiducci, Tre Vie, Fonte Scodella, Macerata, Marche, 62100, Italia</t>
  </si>
  <si>
    <t>VIA PALLOTTA GUIDO</t>
  </si>
  <si>
    <t>VIA PALLOTTA GUIDO, Macerata, MC, Italia</t>
  </si>
  <si>
    <t>Via Guido Pallotta, Fonte Scodella, Macerata, 62100, Italia</t>
  </si>
  <si>
    <t>VIA QUATTRO NOVEMBRE</t>
  </si>
  <si>
    <t>VIA QUATTRO NOVEMBRE, Macerata, MC, Italia</t>
  </si>
  <si>
    <t>Via Quattro Novembre, Corridonia, Macerata, Marche, 62014, Italia</t>
  </si>
  <si>
    <t>VIA ROSSI DOMENICO - (con civici dispari da 1 a 27 - con civici pari da 14 a 30)</t>
  </si>
  <si>
    <t>VIA ROSSI DOMENICO 14, Macerata, MC, Italia</t>
  </si>
  <si>
    <t>VIA ROSSI DOMENICO 1, Macerata, MC, Italia</t>
  </si>
  <si>
    <t>VIA TRENTO</t>
  </si>
  <si>
    <t>VIA TRENTO, Macerata, MC, Italia</t>
  </si>
  <si>
    <t>Via Trento, Tre Vie, Fonte Scodella, Macerata, 62100, Italia</t>
  </si>
  <si>
    <t>VIA VALENTINI GINO</t>
  </si>
  <si>
    <t>VIA VALENTINI GINO, Macerata, MC, Italia</t>
  </si>
  <si>
    <t>Via Gino Valentini, Tre Vie, Fonte Scodella, Macerata, 62100, Italia</t>
  </si>
  <si>
    <t>VIA VENTIQUATTRO MAGGIO</t>
  </si>
  <si>
    <t>VIA VENTIQUATTRO MAGGIO, Macerata, MC, Italia</t>
  </si>
  <si>
    <t>Via Ventiquattro Maggio, Contrada Celeste, Civitanova Alta, Civitanova Marche, Macerata, Marche, 62012, Italia</t>
  </si>
  <si>
    <t>VIA DEI VELINI - (solo civici pari da 14 fino a 68)</t>
  </si>
  <si>
    <t>VIA DEI VELINI</t>
  </si>
  <si>
    <t>VIA DEI VELINI 14, Macerata, MC, Italia</t>
  </si>
  <si>
    <t>14, Via dei Velini, Tre Vie, Fonte Scodella, Macerata, Marche, 62100, Italia</t>
  </si>
  <si>
    <t>VIA DUE FONTI - (con civici dispari da 41 a 77 - con civici pari da 4 a 196)</t>
  </si>
  <si>
    <t>VIA DUE FONTI</t>
  </si>
  <si>
    <t>VIA DUE FONTI 41, Macerata, MC, Italia</t>
  </si>
  <si>
    <t>Via Due Fonti, Tre Vie, Santa Croce, Macerata, Marche, 62100, Italia</t>
  </si>
  <si>
    <t>VIA DUE FONTI 4, Macerata, MC, Italia</t>
  </si>
  <si>
    <t>La Graziella, 4, Via Due Fonti, Tre Vie, Rione Marche, Villa Potenza, Macerata, Marche, 62100, Italia</t>
  </si>
  <si>
    <t>VIA VALENTI GHINO - (con civici dispari da 11 a 257 - con civici pari da 120 a 126)</t>
  </si>
  <si>
    <t>VIA VALENTI GHINO</t>
  </si>
  <si>
    <t>VIA VALENTI GHINO 11, Macerata, MC, Italia</t>
  </si>
  <si>
    <t>11, Via Ghino Valenti, Tre Vie, Santa Croce, Macerata, Marche, 62100, Italia</t>
  </si>
  <si>
    <t>VIA VALENTI GHINO 120, Macerata, MC, Italia</t>
  </si>
  <si>
    <t>Via Ghino Valenti, Colleverde, Macerata, 62100, Italia</t>
  </si>
  <si>
    <t>VIA DUE FONTI - (solo civici dispari da 1 fino a 29)</t>
  </si>
  <si>
    <t>VIA DUE FONTI 1, Macerata, MC, Italia</t>
  </si>
  <si>
    <t>VIA FAMIGLIA PALMIERI</t>
  </si>
  <si>
    <t>VIA FAMIGLIA PALMIERI, Macerata, MC, Italia</t>
  </si>
  <si>
    <t>Via famiglia Palmieri, Tre Vie, Santa Croce, Macerata, 62100, Italia</t>
  </si>
  <si>
    <t>VIA PANFILO FRANCESCO</t>
  </si>
  <si>
    <t>VIA PANFILO FRANCESCO, Macerata, MC, Italia</t>
  </si>
  <si>
    <t>Via Francesco Panfilo, Tre Vie, Santa Croce, Macerata, Marche, 62100, Italia</t>
  </si>
  <si>
    <t>CONTRADA FONTEZUCCA</t>
  </si>
  <si>
    <t>CONTRADA FONTEZUCCA, Macerata, MC, Italia</t>
  </si>
  <si>
    <t>Contrada Fontezucca, Tre Vie, Fonte Scodella, Macerata, 62100, Italia</t>
  </si>
  <si>
    <t>VIA DEI VELINI - (con civici dispari da 1 a 269 - con civici pari da 98 a 210)</t>
  </si>
  <si>
    <t>VIA DEI VELINI 1, Macerata, MC, Italia</t>
  </si>
  <si>
    <t>Via dei Velini, Tre Vie, Montanello, Villa Potenza, Macerata, Marche, 62100, Italia</t>
  </si>
  <si>
    <t>VIA DEI VELINI 98, Macerata, MC, Italia</t>
  </si>
  <si>
    <t>VIA MACERATA - (solo civici dispari da 5 fino a 33)</t>
  </si>
  <si>
    <t>VIA MACERATA 5, Macerata, MC, Italia</t>
  </si>
  <si>
    <t>5, Via Macerata, Contrada Paganuccia, Montefano, Macerata, 62010, Italia</t>
  </si>
  <si>
    <t>CONTRADA ACQUESALATE</t>
  </si>
  <si>
    <t>CONTRADA ACQUESALATE, Macerata, MC, Italia</t>
  </si>
  <si>
    <t>Contrada Acquesalate, Montelupone, Macerata, 62010, Italia</t>
  </si>
  <si>
    <t>CONTRADA FONTE SAN GIULIANO</t>
  </si>
  <si>
    <t>CONTRADA FONTE SAN GIULIANO, Macerata, MC, Italia</t>
  </si>
  <si>
    <t>Contrada Fonte San Giuliano, Pace, Macerata, 62100, Italia</t>
  </si>
  <si>
    <t>CONTRADA FURIASSE</t>
  </si>
  <si>
    <t>CONTRADA FURIASSE, Macerata, MC, Italia</t>
  </si>
  <si>
    <t>Contrada Furiasse, Pace, Macerata, 62100, Italia</t>
  </si>
  <si>
    <t>CONTRADA ISOLA</t>
  </si>
  <si>
    <t>CONTRADA ISOLA, Macerata, MC, Italia</t>
  </si>
  <si>
    <t>Contrada Isola, Macerata, 62010, Italia</t>
  </si>
  <si>
    <t>CONTRADA SANTA MARIA DEL MONTE</t>
  </si>
  <si>
    <t>CONTRADA SANTA MARIA DEL MONTE, Macerata, MC, Italia</t>
  </si>
  <si>
    <t>Contrada Acquesalate, Santa Maria del Monte, Macerata, 62010, Italia</t>
  </si>
  <si>
    <t>CONTRADA SANTO STEFANO</t>
  </si>
  <si>
    <t>CONTRADA SANTO STEFANO, Macerata, MC, Italia</t>
  </si>
  <si>
    <t>Contrada Santo Stefano, Centro storico, Macerata, 62100, Italia</t>
  </si>
  <si>
    <t>VIALE LEOPARDI GIACOMO - (solo civici dispari da 33 fino a 35)</t>
  </si>
  <si>
    <t>VIALE LEOPARDI GIACOMO</t>
  </si>
  <si>
    <t>VIALE LEOPARDI GIACOMO 33, Macerata, MC, Italia</t>
  </si>
  <si>
    <t>Viale Giacomo Leopardi, Borgo San Giuliano, Macerata, Marche, 62100, Italia</t>
  </si>
  <si>
    <t>CONTRADA PACE</t>
  </si>
  <si>
    <t>CONTRADA PACE, Macerata, MC, Italia</t>
  </si>
  <si>
    <t>Contrada Pace, Pace, Macerata, 62100, Italia</t>
  </si>
  <si>
    <t>VIA BORGHI GIOVAN BATTISTA - (solo civici dispari da 7 fino a 53)</t>
  </si>
  <si>
    <t>VIA BORGHI GIOVAN BATTISTA</t>
  </si>
  <si>
    <t>VIA BORGHI GIOVAN BATTISTA 7, Macerata, MC, Italia</t>
  </si>
  <si>
    <t>Via Giovan Battista Borghi, Pace, Macerata, 62100, Italia</t>
  </si>
  <si>
    <t>VIA CROCE BENEDETTO</t>
  </si>
  <si>
    <t>VIA CROCE BENEDETTO, Macerata, MC, Italia</t>
  </si>
  <si>
    <t>Via Benedetto Croce, Pace, Macerata, 62100, Italia</t>
  </si>
  <si>
    <t>VIA DE ANGELIS GIUSEPPE</t>
  </si>
  <si>
    <t>VIA DE ANGELIS GIUSEPPE, Macerata, MC, Italia</t>
  </si>
  <si>
    <t>VIA DELL'UNITA' D'ITALIA</t>
  </si>
  <si>
    <t>VIA DELL'UNITA' D'ITALIA, Macerata, MC, Italia</t>
  </si>
  <si>
    <t>Via dell'Unità d'Italia, Pace, Macerata, 62100, Italia</t>
  </si>
  <si>
    <t>VIA DELLA COSTITUZIONE</t>
  </si>
  <si>
    <t>VIA DELLA COSTITUZIONE, Macerata, MC, Italia</t>
  </si>
  <si>
    <t>Via della Costituzione, Pace, Macerata, 62100, Italia</t>
  </si>
  <si>
    <t>VIA DELLA PACE - (con civici dispari da 137 a 283 - con civici pari da 120 a 308)</t>
  </si>
  <si>
    <t>VIA DELLA PACE</t>
  </si>
  <si>
    <t>VIA DELLA PACE 137, Macerata, MC, Italia</t>
  </si>
  <si>
    <t>Via della Pace, Pace, Macerata, 62100, Italia</t>
  </si>
  <si>
    <t>VIA DELLA PACE 120, Macerata, MC, Italia</t>
  </si>
  <si>
    <t>VIA DELLE PARTIGIANE</t>
  </si>
  <si>
    <t>VIA DELLE PARTIGIANE, Macerata, MC, Italia</t>
  </si>
  <si>
    <t>Via delle Partigiane, Pace, Macerata, 62100, Italia</t>
  </si>
  <si>
    <t>VIA EUSTACHIO BARTOLOMEO</t>
  </si>
  <si>
    <t>VIA EUSTACHIO BARTOLOMEO, Macerata, MC, Italia</t>
  </si>
  <si>
    <t>Via Bartolomeo Eustachio, Pace, Macerata, 62100, Italia</t>
  </si>
  <si>
    <t>VIA FONTE DELLA QUERCIA</t>
  </si>
  <si>
    <t>VIA FONTE DELLA QUERCIA, Macerata, MC, Italia</t>
  </si>
  <si>
    <t>Via Fonte della quercia, Pace, Macerata, 62100, Italia</t>
  </si>
  <si>
    <t>VIA GENTILI ALBERICO</t>
  </si>
  <si>
    <t>VIA GENTILI ALBERICO, Macerata, MC, Italia</t>
  </si>
  <si>
    <t>Via Alberico Gentili, Pace, Macerata, 62100, Italia</t>
  </si>
  <si>
    <t>VIA LANZI LUIGI</t>
  </si>
  <si>
    <t>VIA LANZI LUIGI, Macerata, MC, Italia</t>
  </si>
  <si>
    <t>Via Luigi Lanzi, Pace, Macerata, 62100, Italia</t>
  </si>
  <si>
    <t>VIA MURRI AUGUSTO</t>
  </si>
  <si>
    <t>VIA MURRI AUGUSTO, Macerata, MC, Italia</t>
  </si>
  <si>
    <t>Via Augusto Murri, Pace, Macerata, 62100, Italia</t>
  </si>
  <si>
    <t>VIA ROSA ERCOLE</t>
  </si>
  <si>
    <t>VIA ROSA ERCOLE, Macerata, MC, Italia</t>
  </si>
  <si>
    <t>Via Rosa Ercole, Castello al Monte, San Severino Marche, Macerata, Marche, 62027, Italia</t>
  </si>
  <si>
    <t>BORGO SAN GIULIANO - (solo civici pari da 2 fino a 210)</t>
  </si>
  <si>
    <t>BORGO SAN GIULIANO</t>
  </si>
  <si>
    <t>BORGO SAN GIULIANO 2, Macerata, MC, Italia</t>
  </si>
  <si>
    <t>Borgo San Giuliano, Macerata, 62100, Italia</t>
  </si>
  <si>
    <t>VIA ACCORAMBONI CECCO</t>
  </si>
  <si>
    <t>VIA ACCORAMBONI CECCO, Macerata, MC, Italia</t>
  </si>
  <si>
    <t>VIA BIANCHINI FEDELE</t>
  </si>
  <si>
    <t>VIA BIANCHINI FEDELE, Macerata, MC, Italia</t>
  </si>
  <si>
    <t>Via Fedele Bianchini, Borgo San Giuliano, Macerata, Marche, 62100, Italia</t>
  </si>
  <si>
    <t>VIA BORGHI GIOVAN BATTISTA - (solo civici pari da 16 fino a 50)</t>
  </si>
  <si>
    <t>VIA BORGHI GIOVAN BATTISTA 16, Macerata, MC, Italia</t>
  </si>
  <si>
    <t>VIA DELLA PACE - (solo civici pari da 56 fino a 110)</t>
  </si>
  <si>
    <t>VIA DELLA PACE 56, Macerata, MC, Italia</t>
  </si>
  <si>
    <t>VIA FONTEMAGGIORE</t>
  </si>
  <si>
    <t>VIA FONTEMAGGIORE, Macerata, MC, Italia</t>
  </si>
  <si>
    <t>VIA GUIDI DOMENICO</t>
  </si>
  <si>
    <t>VIA GUIDI DOMENICO, Macerata, MC, Italia</t>
  </si>
  <si>
    <t>Via Domenico Guidi, Pace, Macerata, Marche, 62100, Italia</t>
  </si>
  <si>
    <t>VIA LUCHETTI SESTO AMERICO</t>
  </si>
  <si>
    <t>VIA LUCHETTI SESTO AMERICO, Macerata, MC, Italia</t>
  </si>
  <si>
    <t>Via Sesto Americo Luchetti, Borgo San Giuliano, Macerata, Marche, 62100, Italia</t>
  </si>
  <si>
    <t>VIA MULUCCI MULUCCIO</t>
  </si>
  <si>
    <t>VIA MULUCCI MULUCCIO, Macerata, MC, Italia</t>
  </si>
  <si>
    <t>Via Muluccio Mulucci, Borgo San Giuliano, Macerata, 62100, Italia</t>
  </si>
  <si>
    <t>VIA PAGNANELLI REMO</t>
  </si>
  <si>
    <t>VIA PAGNANELLI REMO, Macerata, MC, Italia</t>
  </si>
  <si>
    <t>Via Remo Pagnanelli, Pace, Macerata, 62100, Italia</t>
  </si>
  <si>
    <t>VIA PANATI CARLO</t>
  </si>
  <si>
    <t>VIA PANATI CARLO, Macerata, MC, Italia</t>
  </si>
  <si>
    <t>Via Carlo Panati, Borgo San Giuliano, Macerata, Marche, 62100, Italia</t>
  </si>
  <si>
    <t>VIA SAN MICHELE ARCANGELO</t>
  </si>
  <si>
    <t>VIA SAN MICHELE ARCANGELO, Macerata, MC, Italia</t>
  </si>
  <si>
    <t>Via San Michele Arcangelo, Borgo San Giuliano, Macerata, Marche, 62100, Italia</t>
  </si>
  <si>
    <t>VIA VITTORINI ELIO</t>
  </si>
  <si>
    <t>VIA VITTORINI ELIO, Macerata, MC, Italia</t>
  </si>
  <si>
    <t>Via Elio Vittorini, Pace, Macerata, 62100, Italia</t>
  </si>
  <si>
    <t>VIALE LEOPARDI GIACOMO - (con civici dispari da 3 a 31 - con civici pari da 2 a 2)</t>
  </si>
  <si>
    <t>VIALE LEOPARDI GIACOMO 3, Macerata, MC, Italia</t>
  </si>
  <si>
    <t>VIALE LEOPARDI GIACOMO 2, Macerata, MC, Italia</t>
  </si>
  <si>
    <t>2, Viale Giacomo Leopardi, Camerino, Macerata, Marche, 62032, Italia</t>
  </si>
  <si>
    <t>VICOLO PRIMO</t>
  </si>
  <si>
    <t>VICOLO PRIMO, Macerata, MC, Italia</t>
  </si>
  <si>
    <t>Vicolo Primo, Borgo San Giuliano, Macerata, Marche, 62100, Italia</t>
  </si>
  <si>
    <t>VICOLO SECONDO</t>
  </si>
  <si>
    <t>VICOLO SECONDO, Macerata, MC, Italia</t>
  </si>
  <si>
    <t>Vicolo Secondo, Borgo San Giuliano, Macerata, 62100, Italia</t>
  </si>
  <si>
    <t>BORGO SAN GIULIANO - (solo civici dispari da 1 fino a 149)</t>
  </si>
  <si>
    <t>BORGO SAN GIULIANO 1, Macerata, MC, Italia</t>
  </si>
  <si>
    <t>1, Borgo San Giuliano, Macerata, 62100, Italia</t>
  </si>
  <si>
    <t>VIA DELLA PACE - (con civici dispari da 3 a 131 - con civici pari da 4 a 50)</t>
  </si>
  <si>
    <t>VIA DELLA PACE 3, Macerata, MC, Italia</t>
  </si>
  <si>
    <t>3, Via della Pace, Pace, Macerata, 62100, Italia</t>
  </si>
  <si>
    <t>VIA DELLA PACE 4, Macerata, MC, Italia</t>
  </si>
  <si>
    <t>VIA PACE - LOTTO A</t>
  </si>
  <si>
    <t>VIA PACE</t>
  </si>
  <si>
    <t>VIA PACE, Macerata, MC, Italia</t>
  </si>
  <si>
    <t>VIA PACE - LOTTO B</t>
  </si>
  <si>
    <t>VIA PACE - LOTTO C</t>
  </si>
  <si>
    <t>VIA PACE - LOTTO D</t>
  </si>
  <si>
    <t>VIA PACE - LOTTO E</t>
  </si>
  <si>
    <t>VIA PANTALEONI MAFFEO</t>
  </si>
  <si>
    <t>VIA PANTALEONI MAFFEO, Macerata, MC, Italia</t>
  </si>
  <si>
    <t>Via Maffeo Pantaleoni, Borgo San Giuliano, Macerata, 62100, Italia</t>
  </si>
  <si>
    <t>VIA ZORLI CONIUGI</t>
  </si>
  <si>
    <t>VIA ZORLI CONIUGI, Macerata, MC, Italia</t>
  </si>
  <si>
    <t>Via Coniugi Zorli, Borgo San Giuliano, Macerata, 62100, Italia</t>
  </si>
  <si>
    <t>VIALE PANTALEONI DIOMEDE</t>
  </si>
  <si>
    <t>VIALE PANTALEONI DIOMEDE, Macerata, MC, Italia</t>
  </si>
  <si>
    <t>VICOLO VECCHIO</t>
  </si>
  <si>
    <t>VICOLO VECCHIO, Macerata, MC, Italia</t>
  </si>
  <si>
    <t>Vicolo Vecchio, Borgo San Giuliano, Macerata, 62100, Italia</t>
  </si>
  <si>
    <t>CONTRADA ALBEROTONDO</t>
  </si>
  <si>
    <t>CONTRADA ALBEROTONDO, Macerata, MC, Italia</t>
  </si>
  <si>
    <t>Contrada Alberotondo, Pace, Macerata, 62100, Italia</t>
  </si>
  <si>
    <t>CONTRADA BOTONTO</t>
  </si>
  <si>
    <t>CONTRADA BOTONTO, Macerata, MC, Italia</t>
  </si>
  <si>
    <t>Contrada Botonto, Macerata, 62010, Italia</t>
  </si>
  <si>
    <t>CONTRADA CERVANELLO</t>
  </si>
  <si>
    <t>CONTRADA CERVANELLO, Macerata, MC, Italia</t>
  </si>
  <si>
    <t>Contrada Cervanello, Macerata, 62010, Italia</t>
  </si>
  <si>
    <t>CONTRADA CERVARE</t>
  </si>
  <si>
    <t>CONTRADA CERVARE, Macerata, MC, Italia</t>
  </si>
  <si>
    <t>Contrada Cervare, Montelupone, Macerata, 62010, Italia</t>
  </si>
  <si>
    <t>CONTRADA MORICA</t>
  </si>
  <si>
    <t>CONTRADA MORICA, Macerata, MC, Italia</t>
  </si>
  <si>
    <t>Contrada Morica, Pace, Macerata, 62100, Italia</t>
  </si>
  <si>
    <t>CONTRADA VALLE</t>
  </si>
  <si>
    <t>CONTRADA VALLE, Macerata, MC, Italia</t>
  </si>
  <si>
    <t>Contrada Valle, Monte Tasso, Montelupone, Macerata, Italia</t>
  </si>
  <si>
    <t>VIA MONSIGNORE FRANCESCO TARCISIO CARBONI</t>
  </si>
  <si>
    <t>VIA MONSIGNORE FRANCESCO TARCISIO CARBONI, Macerata, MC, Italia</t>
  </si>
  <si>
    <t>VIA PALADINI VIRGILIO - (solo civico 1)</t>
  </si>
  <si>
    <t>VIA PALADINI VIRGILIO</t>
  </si>
  <si>
    <t>VIA PALADINI VIRGILIO 1, Macerata, MC, Italia</t>
  </si>
  <si>
    <t>Via Virgilio Paladini, Santa Lucia, Macerata, 62100, Italia</t>
  </si>
  <si>
    <t>VIA PANCALDUCCI VINCENZO - (solo civici pari da 86 fino a 130)</t>
  </si>
  <si>
    <t>VIA PANCALDUCCI VINCENZO</t>
  </si>
  <si>
    <t>VIA PANCALDUCCI VINCENZO 86, Macerata, MC, Italia</t>
  </si>
  <si>
    <t>Via Vincenzo Pancalducci, Santa Lucia, Macerata, Marche, 62100, Italia</t>
  </si>
  <si>
    <t>VIA VENTURA LATTANZIO - (con civici dispari da 65 a 151 - con civici pari da 4 a 178)</t>
  </si>
  <si>
    <t>VIA VENTURA LATTANZIO</t>
  </si>
  <si>
    <t>VIA VENTURA LATTANZIO 65, Macerata, MC, Italia</t>
  </si>
  <si>
    <t>Via Lattanzio Ventura, Macerata, 62010, Italia</t>
  </si>
  <si>
    <t>VIA VENTURA LATTANZIO 4, Macerata, MC, Italia</t>
  </si>
  <si>
    <t>CONTRADA SANTA MARIA DELLE VERGINI - (con civici dispari da 1 a 21 - con civici pari da 2 a 18)</t>
  </si>
  <si>
    <t>CONTRADA SANTA MARIA DELLE VERGINI</t>
  </si>
  <si>
    <t>CONTRADA SANTA MARIA DELLE VERGINI 1, Macerata, MC, Italia</t>
  </si>
  <si>
    <t>Contrada Santa Maria delle Vergini, Peschiera, Piediripa, Macerata, 62100, Italia</t>
  </si>
  <si>
    <t>CONTRADA SANTA MARIA DELLE VERGINI 2, Macerata, MC, Italia</t>
  </si>
  <si>
    <t>CONTRADA VALLEBONA - (con civici dispari da 1 a 65 - con civici pari da 2 a 62)</t>
  </si>
  <si>
    <t>CONTRADA VALLEBONA</t>
  </si>
  <si>
    <t>CONTRADA VALLEBONA 1, Macerata, MC, Italia</t>
  </si>
  <si>
    <t>Contrada Vallebona, Santa Lucia, Macerata, Marche, 62100, Italia</t>
  </si>
  <si>
    <t>CONTRADA VALLEBONA 2, Macerata, MC, Italia</t>
  </si>
  <si>
    <t>PIAZZALE BERTELLI LUIGI</t>
  </si>
  <si>
    <t>PIAZZALE BERTELLI LUIGI, Macerata, MC, Italia</t>
  </si>
  <si>
    <t>Piazzale Luigi Bertelli, Via Domenico Costanzi, Peschiera, Piediripa, Macerata, 62100, Italia</t>
  </si>
  <si>
    <t>VIA BORSELLINO PAOLO</t>
  </si>
  <si>
    <t>VIA BORSELLINO PAOLO, Macerata, MC, Italia</t>
  </si>
  <si>
    <t>Via Paolo Borsellino, Vergini, Macerata, Marche, 62100, Italia</t>
  </si>
  <si>
    <t>VIA BRAMANTE DONATO - (con civici dispari da 1 a 27 - con civici pari da 2 a 38)</t>
  </si>
  <si>
    <t>VIA BRAMANTE DONATO</t>
  </si>
  <si>
    <t>VIA BRAMANTE DONATO 1, Macerata, MC, Italia</t>
  </si>
  <si>
    <t>Dipartimento di Scienze della formazione, dei beni culturali e del turismo - Polo didattico Luigi Bertelli, 1, Via Donato Bramante, Peschiera, Piediripa, Macerata, Marche, 62100, Italia</t>
  </si>
  <si>
    <t>VIA BRAMANTE DONATO 2, Macerata, MC, Italia</t>
  </si>
  <si>
    <t>2, Via Donato Bramante, Montecassiano, Macerata, Marche, 62010, Italia</t>
  </si>
  <si>
    <t>VIA CASSARA' NINNI</t>
  </si>
  <si>
    <t>VIA CASSARA' NINNI, Macerata, MC, Italia</t>
  </si>
  <si>
    <t>Via Ninni Cassarà, Vergini, Macerata, 62100, Italia</t>
  </si>
  <si>
    <t>VIA CHINNICI ROCCO</t>
  </si>
  <si>
    <t>VIA CHINNICI ROCCO, Macerata, MC, Italia</t>
  </si>
  <si>
    <t>Via Rocco Chinnici, Vergini, Macerata, Marche, 62100, Italia</t>
  </si>
  <si>
    <t>VIA COSTANZI DOMENICO</t>
  </si>
  <si>
    <t>VIA COSTANZI DOMENICO, Macerata, MC, Italia</t>
  </si>
  <si>
    <t>Via Domenico Costanzi, Peschiera, Piediripa, Macerata, 62100, Italia</t>
  </si>
  <si>
    <t>VIA DELLA FORNACE</t>
  </si>
  <si>
    <t>VIA DELLA FORNACE, Macerata, MC, Italia</t>
  </si>
  <si>
    <t>Via della Fornace, Montecosaro Scalo, Montecosaro, Macerata, Italia</t>
  </si>
  <si>
    <t>VIA FALCONE GIOVANNI</t>
  </si>
  <si>
    <t>VIA FALCONE GIOVANNI, Macerata, MC, Italia</t>
  </si>
  <si>
    <t>Via Giovanni Falcone, Vergini, Macerata, Marche, 62100, Italia</t>
  </si>
  <si>
    <t>VIA GALASSO DA CARPI</t>
  </si>
  <si>
    <t>VIA GALASSO DA CARPI, Macerata, MC, Italia</t>
  </si>
  <si>
    <t>Via Galasso da Carpi, Vergini, Macerata, 62100, Italia</t>
  </si>
  <si>
    <t>VIA LIVATINO ROSARIO</t>
  </si>
  <si>
    <t>VIA LIVATINO ROSARIO, Macerata, MC, Italia</t>
  </si>
  <si>
    <t>Via Rosario Livatino, Vergini, Macerata, Marche, 62100, Italia</t>
  </si>
  <si>
    <t>VIA PANCALDUCCI VINCENZO - (solo civici dispari da 11 fino a 31)</t>
  </si>
  <si>
    <t>VIA PANCALDUCCI VINCENZO 11, Macerata, MC, Italia</t>
  </si>
  <si>
    <t>11, 13, 15, Via Vincenzo Pancalducci, Vergini, Macerata, Marche, 62100, Italia</t>
  </si>
  <si>
    <t>VIA VENTURA LATTANZIO - (solo civici dispari da 7 fino a 55)</t>
  </si>
  <si>
    <t>VIA VENTURA LATTANZIO 7, Macerata, MC, Italia</t>
  </si>
  <si>
    <t>CORSO CAIROLI FRATELLI - (solo civici pari da 6 fino a 102)</t>
  </si>
  <si>
    <t>CORSO CAIROLI FRATELLI</t>
  </si>
  <si>
    <t>CORSO CAIROLI FRATELLI 6, Macerata, MC, Italia</t>
  </si>
  <si>
    <t>6, Corso Fratelli Cairoli, Centro storico, Macerata, Marche, 62100, Italia</t>
  </si>
  <si>
    <t>PIAZZA SAURO NAZARIO - (con civici dispari da 1 a 35 - con civici pari da 6 a 60)</t>
  </si>
  <si>
    <t>PIAZZA SAURO NAZARIO</t>
  </si>
  <si>
    <t>PIAZZA SAURO NAZARIO 6, Macerata, MC, Italia</t>
  </si>
  <si>
    <t>Piazza Nazario Sauro, Centro storico, Macerata, Marche, 62100, Italia</t>
  </si>
  <si>
    <t>PIAZZA SAURO NAZARIO 1, Macerata, MC, Italia</t>
  </si>
  <si>
    <t>VIA ALEANDRI IRENEO - (solo civico 38)</t>
  </si>
  <si>
    <t>VIA ALEANDRI IRENEO</t>
  </si>
  <si>
    <t>VIA ALEANDRI IRENEO 38, Macerata, MC, Italia</t>
  </si>
  <si>
    <t>Via Ireneo Aleandri, Verdi, Macerata, 62100, Italia</t>
  </si>
  <si>
    <t>VIA PALADINI VIRGILIO - (solo civici pari da 38 fino a 80)</t>
  </si>
  <si>
    <t>VIA PALADINI VIRGILIO 38, Macerata, MC, Italia</t>
  </si>
  <si>
    <t>VIA PANCALDUCCI VINCENZO - (solo civici pari da 6 fino a 84)</t>
  </si>
  <si>
    <t>VIA PANCALDUCCI VINCENZO 6, Macerata, MC, Italia</t>
  </si>
  <si>
    <t>VIA POZZO DEL MERCATO</t>
  </si>
  <si>
    <t>VIA POZZO DEL MERCATO, Macerata, MC, Italia</t>
  </si>
  <si>
    <t>Via Pozzo del mercato, Centro storico, Macerata, 62100, Italia</t>
  </si>
  <si>
    <t>VIA SEVERINI ANTELMO - (con civici dispari da 41 a 41 - con civici pari da 4 a 72)</t>
  </si>
  <si>
    <t>VIA SEVERINI ANTELMO</t>
  </si>
  <si>
    <t>VIA SEVERINI ANTELMO 41, Macerata, MC, Italia</t>
  </si>
  <si>
    <t>41, Via Antelmo Severini, Verdi, Macerata, 62100, Italia</t>
  </si>
  <si>
    <t>VIA SEVERINI ANTELMO 4, Macerata, MC, Italia</t>
  </si>
  <si>
    <t>4, Via Antelmo Severini, Verdi, Macerata, Marche, 62100, Italia</t>
  </si>
  <si>
    <t>VICOLO DEGLI ORFANELLI</t>
  </si>
  <si>
    <t>VICOLO DEGLI ORFANELLI, Macerata, MC, Italia</t>
  </si>
  <si>
    <t>Vicolo degli Orfanelli, Verdi, Macerata, Marche, 62100, Italia</t>
  </si>
  <si>
    <t>PIAZZA VENTICINQUE APRILE - (con civici dispari da 3 a 3 - con civici pari da 4 a 4)</t>
  </si>
  <si>
    <t>PIAZZA VENTICINQUE APRILE</t>
  </si>
  <si>
    <t>PIAZZA VENTICINQUE APRILE 3, Macerata, MC, Italia</t>
  </si>
  <si>
    <t>PIAZZA VENTICINQUE APRILE 4, Macerata, MC, Italia</t>
  </si>
  <si>
    <t>VIA GIGLI BENIAMINO - (con civici dispari da 35 a 103 - con civici pari da 2 a 2)</t>
  </si>
  <si>
    <t>VIA GIGLI BENIAMINO</t>
  </si>
  <si>
    <t>VIA GIGLI BENIAMINO 35, Macerata, MC, Italia</t>
  </si>
  <si>
    <t>35, Via Beniamino Gigli, Porto Recanati, Macerata, Marche, 62017, Italia</t>
  </si>
  <si>
    <t>VIA GIGLI BENIAMINO 2, Macerata, MC, Italia</t>
  </si>
  <si>
    <t>2, Via Beniamino Gigli, Porto Recanati, Macerata, Marche, 62017, Italia</t>
  </si>
  <si>
    <t>VIA MACERATA - (solo civico 11)</t>
  </si>
  <si>
    <t>VIA MACERATA 11, Macerata, MC, Italia</t>
  </si>
  <si>
    <t>Via Macerata, Porto Recanati, Macerata, 62017, Italia</t>
  </si>
  <si>
    <t>VIA PANCALDUCCI VINCENZO - (solo civici dispari da 1 fino a 3/H)</t>
  </si>
  <si>
    <t>VIA PANCALDUCCI VINCENZO 1, Macerata, MC, Italia</t>
  </si>
  <si>
    <t>ENI, 1, Via Vincenzo Pancalducci, Verdi, Macerata, Marche, 62100, Italia</t>
  </si>
  <si>
    <t>VIA PIANESI FRATELLI - (solo civici pari da 4 fino a 16)</t>
  </si>
  <si>
    <t>VIA PIANESI FRATELLI</t>
  </si>
  <si>
    <t>VIA PIANESI FRATELLI 4, Macerata, MC, Italia</t>
  </si>
  <si>
    <t>Via Fratelli Pianesi, Verdi, Macerata, Marche, 62100, Italia</t>
  </si>
  <si>
    <t>VIA ROSSINI GIOACCHINO</t>
  </si>
  <si>
    <t>VIA ROSSINI GIOACCHINO, Macerata, MC, Italia</t>
  </si>
  <si>
    <t>Via Gioacchino Rossini, Verdi, Macerata, 62100, Italia</t>
  </si>
  <si>
    <t>VIA SAN FRANCESCO D'ASSISI - (solo civico 1)</t>
  </si>
  <si>
    <t>VIA SAN FRANCESCO D'ASSISI</t>
  </si>
  <si>
    <t>VIA SAN FRANCESCO D'ASSISI 1, Macerata, MC, Italia</t>
  </si>
  <si>
    <t>Via San Francesco d'Assisi, Verdi, Macerata, 62100, Italia</t>
  </si>
  <si>
    <t>VIA SANTA AURELIA MAREFOSCHI</t>
  </si>
  <si>
    <t>VIA SANTA AURELIA MAREFOSCHI, Macerata, MC, Italia</t>
  </si>
  <si>
    <t>Via Santa Aurelia, Santa Lucia, Macerata, 62100, Italia</t>
  </si>
  <si>
    <t>VIA SANTA CATERINA DA SIENA</t>
  </si>
  <si>
    <t>VIA SANTA CATERINA DA SIENA, Macerata, MC, Italia</t>
  </si>
  <si>
    <t>Via Santa Caterina da Siena, Passo di Treia, Treia, Macerata, Italia</t>
  </si>
  <si>
    <t>VIA SANTA CHIARA D'ASSISI</t>
  </si>
  <si>
    <t>VIA SANTA CHIARA D'ASSISI, Macerata, MC, Italia</t>
  </si>
  <si>
    <t>Via Santa Chiara d'Assisi, Santa Lucia, Macerata, Marche, 62100, Italia</t>
  </si>
  <si>
    <t>VIA SANTA LUCIA - (con civici dispari da 9 a 25 - con civici pari da 4 a 66)</t>
  </si>
  <si>
    <t>VIA SANTA LUCIA</t>
  </si>
  <si>
    <t>VIA SANTA LUCIA 4, Macerata, MC, Italia</t>
  </si>
  <si>
    <t>Via Santa Lucia, Santa Lucia, Macerata, Marche, 62100, Italia</t>
  </si>
  <si>
    <t>VIA SANTA LUCIA 9, Macerata, MC, Italia</t>
  </si>
  <si>
    <t>VIA SPONTINI GASPARE</t>
  </si>
  <si>
    <t>VIA SPONTINI GASPARE, Macerata, MC, Italia</t>
  </si>
  <si>
    <t>Via Gaspare Spontini, Verdi, Macerata, 62100, Italia</t>
  </si>
  <si>
    <t>VIA VERDI GIUSEPPE - (con civici dispari da 1 a 31 - con civici pari da 2 a 10/A)</t>
  </si>
  <si>
    <t>VIA VERDI GIUSEPPE</t>
  </si>
  <si>
    <t>VIA VERDI GIUSEPPE 1, Macerata, MC, Italia</t>
  </si>
  <si>
    <t>1, Via Giuseppe Verdi, Verdi, Macerata, 62100, Italia</t>
  </si>
  <si>
    <t>VIA VERDI GIUSEPPE 2, Macerata, MC, Italia</t>
  </si>
  <si>
    <t>2, Via Giuseppe Verdi, Verdi, Macerata, 62100, Italia</t>
  </si>
  <si>
    <t>LARGO DEI CAPPUCCINI</t>
  </si>
  <si>
    <t>LARGO DEI CAPPUCCINI, Macerata, MC, Italia</t>
  </si>
  <si>
    <t>VIA BRACCIALARGHE COMUNARDO</t>
  </si>
  <si>
    <t>VIA BRACCIALARGHE COMUNARDO, Macerata, MC, Italia</t>
  </si>
  <si>
    <t>Via Comunardo Braccialarghe, Santa Lucia, Macerata, Marche, 62100, Italia</t>
  </si>
  <si>
    <t>VIA CINCINELLI - (con civici dispari da 1 a 43 - con civici pari da 2 a 20)</t>
  </si>
  <si>
    <t>VIA CINCINELLI</t>
  </si>
  <si>
    <t>VIA CINCINELLI 1, Macerata, MC, Italia</t>
  </si>
  <si>
    <t>Via Cincinelli, Verdi, Macerata, Marche, 62100, Italia</t>
  </si>
  <si>
    <t>VIA CINCINELLI 2, Macerata, MC, Italia</t>
  </si>
  <si>
    <t>VIA GIGLI BENIAMINO - (solo civici pari da 4 fino a 14)</t>
  </si>
  <si>
    <t>VIA GIGLI BENIAMINO 4, Macerata, MC, Italia</t>
  </si>
  <si>
    <t>4, Via Beniamino Gigli, Porto Recanati, Macerata, Marche, 62017, Italia</t>
  </si>
  <si>
    <t>VIA MARCHE - (solo civici pari da 90 fino a 114)</t>
  </si>
  <si>
    <t>VIA MARCHE</t>
  </si>
  <si>
    <t>VIA MARCHE 90, Macerata, MC, Italia</t>
  </si>
  <si>
    <t>90, Via Marche, Montecosaro Scalo, Montecosaro, Macerata, 62010, Italia</t>
  </si>
  <si>
    <t>VIA PADRE IGINO DA SAN SEVERINO</t>
  </si>
  <si>
    <t>VIA PADRE IGINO DA SAN SEVERINO, Macerata, MC, Italia</t>
  </si>
  <si>
    <t>Via Padre Igino da San Severino, Verdi, Macerata, 62100, Italia</t>
  </si>
  <si>
    <t>VIA ROSETANI PADRE FELICE</t>
  </si>
  <si>
    <t>VIA ROSETANI PADRE FELICE, Macerata, MC, Italia</t>
  </si>
  <si>
    <t>Via Padre Felice Rosetani, Santa Lucia, Macerata, Marche, 62100, Italia</t>
  </si>
  <si>
    <t>VIA SAN FRANCESCO D'ASSISI - (con civici dispari da 13 a 19 - con civici pari da 2 a 40)</t>
  </si>
  <si>
    <t>VIA SAN FRANCESCO D'ASSISI 13, Macerata, MC, Italia</t>
  </si>
  <si>
    <t>VIA SAN FRANCESCO D'ASSISI 2, Macerata, MC, Italia</t>
  </si>
  <si>
    <t>2, Via San Francesco d'Assisi, Santa Lucia, Macerata, Marche, 62100, Italia</t>
  </si>
  <si>
    <t>VIA SANTA LUCIA - (solo civici dispari da 3 fino a 7)</t>
  </si>
  <si>
    <t>VIA SANTA LUCIA 3, Macerata, MC, Italia</t>
  </si>
  <si>
    <t>3, Via Santa Lucia, Santa Lucia, Macerata, Marche, 62100, Italia</t>
  </si>
  <si>
    <t>VIA URBINO - (solo civici dispari da 9 fino a 61)</t>
  </si>
  <si>
    <t>VIA URBINO</t>
  </si>
  <si>
    <t>VIA URBINO 9, Macerata, MC, Italia</t>
  </si>
  <si>
    <t>Via Urbino, Verdi, Macerata, Marche, 62100, Italia</t>
  </si>
  <si>
    <t>CONTRADA CORNETO</t>
  </si>
  <si>
    <t>CONTRADA CORNETO, Macerata, MC, Italia</t>
  </si>
  <si>
    <t>Contrada Corneto, Corneto, Macerata, 62100, Italia</t>
  </si>
  <si>
    <t>CONTRADA SELVA</t>
  </si>
  <si>
    <t>CONTRADA SELVA, Macerata, MC, Italia</t>
  </si>
  <si>
    <t>Contrada Selva, Corneto, Macerata, 62100, Italia</t>
  </si>
  <si>
    <t>VIA 11 SETTEMBRE 2001</t>
  </si>
  <si>
    <t>VIA 11 SETTEMBRE 2001, Macerata, MC, Italia</t>
  </si>
  <si>
    <t>Via 11 Settembre 2001, Corneto, Macerata, 62100, Italia</t>
  </si>
  <si>
    <t>VIA 2 AGOSTO 1980</t>
  </si>
  <si>
    <t>VIA 2 AGOSTO 1980, Macerata, MC, Italia</t>
  </si>
  <si>
    <t>Via 2 Agosto 1980, Corneto, Macerata, 62100, Italia</t>
  </si>
  <si>
    <t>VIA BALLESI ELIO</t>
  </si>
  <si>
    <t>VIA BALLESI ELIO, Macerata, MC, Italia</t>
  </si>
  <si>
    <t>Via Elio Ballesi, Corneto, Macerata, 62100, Italia</t>
  </si>
  <si>
    <t>VIA BIZZARRI LUCIANO</t>
  </si>
  <si>
    <t>VIA BIZZARRI LUCIANO, Macerata, MC, Italia</t>
  </si>
  <si>
    <t>Via Luciano Bizzarri, Corneto, Macerata, Marche, 62100, Italia</t>
  </si>
  <si>
    <t>VIA CINCINELLI - (con civici dispari da 67 a 199 - con civici pari da 28 a 184)</t>
  </si>
  <si>
    <t>VIA CINCINELLI 67, Macerata, MC, Italia</t>
  </si>
  <si>
    <t>VIA CINCINELLI 28, Macerata, MC, Italia</t>
  </si>
  <si>
    <t>VIA D'AZEGLIO MASSIMO</t>
  </si>
  <si>
    <t>VIA D'AZEGLIO MASSIMO, Macerata, MC, Italia</t>
  </si>
  <si>
    <t>VIA DEI VELINI - (solo civico 19/P)</t>
  </si>
  <si>
    <t>VIA DEI VELINI 19, Macerata, MC, Italia</t>
  </si>
  <si>
    <t>VIA MAURIZI ELVERIO</t>
  </si>
  <si>
    <t>VIA MAURIZI ELVERIO, Macerata, MC, Italia</t>
  </si>
  <si>
    <t>Via Elverio Maurizi, Corneto, Macerata, 62100, Italia</t>
  </si>
  <si>
    <t>VIA PIANI ANTONIO</t>
  </si>
  <si>
    <t>VIA PIANI ANTONIO, Macerata, MC, Italia</t>
  </si>
  <si>
    <t>Via Antonio Piani, Corneto, Macerata, Marche, 62100, Italia</t>
  </si>
  <si>
    <t>VIA TASSARA GIAMBATTISTA</t>
  </si>
  <si>
    <t>VIA TASSARA GIAMBATTISTA, Macerata, MC, Italia</t>
  </si>
  <si>
    <t>VIA ANCONA</t>
  </si>
  <si>
    <t>VIA ANCONA, Macerata, MC, Italia</t>
  </si>
  <si>
    <t>Via Ancona, Rione Marche, Macerata, Marche, 62100, Italia</t>
  </si>
  <si>
    <t>VIA MARCHE - (con civici dispari da 7 a 53 - con civici pari da 8 a 80)</t>
  </si>
  <si>
    <t>VIA MARCHE 7, Macerata, MC, Italia</t>
  </si>
  <si>
    <t>7, Via Marche, Centro, Civitanova Marche, Macerata, Marche, 62012, Italia</t>
  </si>
  <si>
    <t>VIA MARCHE 8, Macerata, MC, Italia</t>
  </si>
  <si>
    <t>8, Via Marche, Centro, Civitanova Marche, Macerata, Marche, 62012, Italia</t>
  </si>
  <si>
    <t>VIA URBINO - (solo civici pari da 8 fino a 40)</t>
  </si>
  <si>
    <t>VIA URBINO 8, Macerata, MC, Italia</t>
  </si>
  <si>
    <t>8, Via Urbino, Rione Marche, Macerata, Marche, 62100, Italia</t>
  </si>
  <si>
    <t>VIA WEIDEN</t>
  </si>
  <si>
    <t>VIA WEIDEN, Macerata, MC, Italia</t>
  </si>
  <si>
    <t>Via Weiden, Tribunale, Macerata, Marche, 62100, Italia</t>
  </si>
  <si>
    <t>CORSO CAIROLI FRATELLI - (solo civici dispari da 9 fino a 113)</t>
  </si>
  <si>
    <t>CORSO CAIROLI FRATELLI 9, Macerata, MC, Italia</t>
  </si>
  <si>
    <t>Ottica, 9, Corso Fratelli Cairoli, Centro storico, Macerata, Marche, 62100, Italia</t>
  </si>
  <si>
    <t>LARGO PASCOLI GIOVANNI</t>
  </si>
  <si>
    <t>LARGO PASCOLI GIOVANNI, Macerata, MC, Italia</t>
  </si>
  <si>
    <t>PIAZZA SAURO NAZARIO - (con civici dispari da 43 a 69 - con civici pari da 38 a 50)</t>
  </si>
  <si>
    <t>PIAZZA SAURO NAZARIO 43, Macerata, MC, Italia</t>
  </si>
  <si>
    <t>PIAZZA SAURO NAZARIO 38, Macerata, MC, Italia</t>
  </si>
  <si>
    <t>38, Piazza Nazario Sauro, Centro storico, Macerata, Marche, 62100, Italia</t>
  </si>
  <si>
    <t>PIAZZA VENTICINQUE APRILE - (con civici dispari da 1 a 9 - con civici pari da 2 a 10)</t>
  </si>
  <si>
    <t>PIAZZA VENTICINQUE APRILE 1, Macerata, MC, Italia</t>
  </si>
  <si>
    <t>PIAZZA VENTICINQUE APRILE 2, Macerata, MC, Italia</t>
  </si>
  <si>
    <t>VIA ALFIERI VITTORIO</t>
  </si>
  <si>
    <t>VIA ALFIERI VITTORIO, Macerata, MC, Italia</t>
  </si>
  <si>
    <t>Via Vittorio Alfieri, Tribunale, Macerata, 62100, Italia</t>
  </si>
  <si>
    <t>VIA ALIGHIERI DANTE - (solo civico 18)</t>
  </si>
  <si>
    <t>VIA ALIGHIERI DANTE 18, Macerata, MC, Italia</t>
  </si>
  <si>
    <t>18, Via Dante Alighieri, Montecosaro Scalo, Montecosaro, Macerata, Marche, 62010, Italia</t>
  </si>
  <si>
    <t>VIA BASTIANELLI LIDO</t>
  </si>
  <si>
    <t>VIA BASTIANELLI LIDO, Macerata, MC, Italia</t>
  </si>
  <si>
    <t>Via Lido Bastianelli, Centro storico, Macerata, Marche, 62100, Italia</t>
  </si>
  <si>
    <t>VIA CARDUCCI GIOSUE'</t>
  </si>
  <si>
    <t>VIA CARDUCCI GIOSUE', Macerata, MC, Italia</t>
  </si>
  <si>
    <t>Adecco Italia Spa, 35, Via Giosuè Carducci, Centro storico, Macerata, Marche, 62100, Italia</t>
  </si>
  <si>
    <t>VIA CARO ANNIBAL</t>
  </si>
  <si>
    <t>VIA CARO ANNIBAL, Macerata, MC, Italia</t>
  </si>
  <si>
    <t>Via Annibal Caro, Tribunale, Macerata, 62100, Italia</t>
  </si>
  <si>
    <t>VIA CUCCHIARI GIOVANNI</t>
  </si>
  <si>
    <t>VIA CUCCHIARI GIOVANNI, Macerata, MC, Italia</t>
  </si>
  <si>
    <t>Via Giovanni Cucchiari, Verdi, Macerata, Marche, 62100, Italia</t>
  </si>
  <si>
    <t>VIA DE AMICIS EDMONDO</t>
  </si>
  <si>
    <t>VIA DE AMICIS EDMONDO, Macerata, MC, Italia</t>
  </si>
  <si>
    <t>VIA DELLA NANA</t>
  </si>
  <si>
    <t>VIA DELLA NANA, Macerata, MC, Italia</t>
  </si>
  <si>
    <t>Via della Nana, Centro storico, Macerata, 62100, Italia</t>
  </si>
  <si>
    <t>VIA FILELFO FRANCESCO</t>
  </si>
  <si>
    <t>VIA FILELFO FRANCESCO, Macerata, MC, Italia</t>
  </si>
  <si>
    <t>Via Francesco Filelfo, Tribunale, Macerata, 62100, Italia</t>
  </si>
  <si>
    <t>VIA FOSCOLO UGO - (con civici dispari da 1 a 7/A - con civici pari da 20 a 26)</t>
  </si>
  <si>
    <t>VIA FOSCOLO UGO 1, Macerata, MC, Italia</t>
  </si>
  <si>
    <t>1, Via Ugo Foscolo, Tribunale, Macerata, Marche, 62100, Italia</t>
  </si>
  <si>
    <t>VIA FOSCOLO UGO 20, Macerata, MC, Italia</t>
  </si>
  <si>
    <t>20, Via Ugo Foscolo, San Giuseppe, San Marone, Civitanova Marche, Macerata, Marche, 62012, Italia</t>
  </si>
  <si>
    <t>VIA ISONZO - (solo civici pari da 2 fino a 14)</t>
  </si>
  <si>
    <t>VIA ISONZO 2, Macerata, MC, Italia</t>
  </si>
  <si>
    <t>2, Via Isonzo, Borgo Marconi, Borgo Pintura, Morrovalle, Macerata, Marche, 62010, Italia</t>
  </si>
  <si>
    <t>VIA MACERATA - (solo civico 2)</t>
  </si>
  <si>
    <t>VIA MANZONI ALESSANDRO - (con civici dispari da 1 a 1 - con civici pari da 4 a 4)</t>
  </si>
  <si>
    <t>VIA MANZONI ALESSANDRO 1, Macerata, MC, Italia</t>
  </si>
  <si>
    <t>1, Via Alessandro Manzoni, Contrada Campoleone, Trodica, Morrovalle, Macerata, 62010, Italia</t>
  </si>
  <si>
    <t>VIA MANZONI ALESSANDRO 4, Macerata, MC, Italia</t>
  </si>
  <si>
    <t>4, Via Alessandro Manzoni, Contrada Campodonico, Monte Tasso, Montelupone, Macerata, Marche, 62010, Italia</t>
  </si>
  <si>
    <t>VIA MARCHETTI FILIPPO - (solo civici dispari da 37 fino a 39)</t>
  </si>
  <si>
    <t>VIA MARCHETTI FILIPPO</t>
  </si>
  <si>
    <t>VIA MARCHETTI FILIPPO 37, Macerata, MC, Italia</t>
  </si>
  <si>
    <t>Via Filippo Marchetti, Verdi, Macerata, 62100, Italia</t>
  </si>
  <si>
    <t>VIA MERELLI RAFFAELE - (solo civici pari da 6 fino a 10)</t>
  </si>
  <si>
    <t>VIA MERELLI RAFFAELE</t>
  </si>
  <si>
    <t>VIA MERELLI RAFFAELE 6, Macerata, MC, Italia</t>
  </si>
  <si>
    <t>6, Via Raffaele Merelli, Verdi, Macerata, 62100, Italia</t>
  </si>
  <si>
    <t>VIA MOJE</t>
  </si>
  <si>
    <t>VIA MOJE, Macerata, MC, Italia</t>
  </si>
  <si>
    <t>Via Moje, 23, Via delle Moie, Centro storico, Macerata, Marche, 62100, Italia</t>
  </si>
  <si>
    <t>VIA NICCOLAI EUGENIO</t>
  </si>
  <si>
    <t>VIA NICCOLAI EUGENIO, Macerata, MC, Italia</t>
  </si>
  <si>
    <t>Via Eugenio Niccolai, Centro storico, Macerata, Marche, 62100, Italia</t>
  </si>
  <si>
    <t>VIA PANNELLI VINCENZO</t>
  </si>
  <si>
    <t>VIA PANNELLI VINCENZO, Macerata, MC, Italia</t>
  </si>
  <si>
    <t>Via Vincenzo Pannelli, Centro storico, Macerata, Marche, 62100, Italia</t>
  </si>
  <si>
    <t>VIA PERGOLESI GIOVANNI BATTISTA</t>
  </si>
  <si>
    <t>VIA PERGOLESI GIOVANNI BATTISTA, Macerata, MC, Italia</t>
  </si>
  <si>
    <t>Via Giovanni Battista Pergolesi, Fontespina, Civitanova Marche, Macerata, Marche, 62012, Italia</t>
  </si>
  <si>
    <t>VIA VERDI GIUSEPPE - (solo civici pari da 4 fino a 6)</t>
  </si>
  <si>
    <t>VIA VERDI GIUSEPPE 4, Macerata, MC, Italia</t>
  </si>
  <si>
    <t>4, Via Giuseppe Verdi, Verdi, Macerata, 62100, Italia</t>
  </si>
  <si>
    <t>VIA VITTIME CIVILI DI GUERRA DEL 1944</t>
  </si>
  <si>
    <t>VIA VITTIME CIVILI DI GUERRA DEL 1944, Macerata, MC, Italia</t>
  </si>
  <si>
    <t>Via Vittime civili di guerra del 1944, Centro storico, Macerata, 62100, Italia</t>
  </si>
  <si>
    <t>VIALE PIAVE - (con civici dispari da 1 a 9/A - con civici pari da 8 a 50)</t>
  </si>
  <si>
    <t>VIALE PIAVE 1, Macerata, MC, Italia</t>
  </si>
  <si>
    <t>1, Viale Piave, Corridonia, Macerata, 62014, Italia</t>
  </si>
  <si>
    <t>VIALE PIAVE 8, Macerata, MC, Italia</t>
  </si>
  <si>
    <t>VIALE SAN GIOVANNI BOSCO - (con civici dispari da 1 a 67 - con civici pari da 4 a 66)</t>
  </si>
  <si>
    <t>VIALE SAN GIOVANNI BOSCO</t>
  </si>
  <si>
    <t>VIALE SAN GIOVANNI BOSCO 1, Macerata, MC, Italia</t>
  </si>
  <si>
    <t>Viale San Giovanni Bosco, Verdi, Macerata, 62100, Italia</t>
  </si>
  <si>
    <t>VIALE SAN GIOVANNI BOSCO 4, Macerata, MC, Italia</t>
  </si>
  <si>
    <t>VIALE TRIESTE</t>
  </si>
  <si>
    <t>VIALE TRIESTE, Macerata, MC, Italia</t>
  </si>
  <si>
    <t>Viale Trieste, Tribunale, Macerata, Marche, 62100, Italia</t>
  </si>
  <si>
    <t>CORSO CAIROLI FRATELLI - (con civici dispari da 115 a 187 - con civici pari da 106 a 228/A)</t>
  </si>
  <si>
    <t>CORSO CAIROLI FRATELLI 115, Macerata, MC, Italia</t>
  </si>
  <si>
    <t>Fratelli d'Italia, 5, Corso Fratelli Cairoli, Centro storico, Macerata, Marche, 62100, Italia</t>
  </si>
  <si>
    <t>CORSO CAIROLI FRATELLI 106, Macerata, MC, Italia</t>
  </si>
  <si>
    <t>VIA ALEANDRI IRENEO - (con civici dispari da 13 a 93 - con civici pari da 28 a 30)</t>
  </si>
  <si>
    <t>VIA ALEANDRI IRENEO 13, Macerata, MC, Italia</t>
  </si>
  <si>
    <t>VIA ALEANDRI IRENEO 28, Macerata, MC, Italia</t>
  </si>
  <si>
    <t>VIA ARIANI ADRIANO</t>
  </si>
  <si>
    <t>VIA ARIANI ADRIANO, Macerata, MC, Italia</t>
  </si>
  <si>
    <t>Via Adriano Ariani, Verdi, Macerata, 62100, Italia</t>
  </si>
  <si>
    <t>VIA GIGLI BENIAMINO - (solo civici dispari da 3 fino a 11)</t>
  </si>
  <si>
    <t>VIA GIGLI BENIAMINO 3, Macerata, MC, Italia</t>
  </si>
  <si>
    <t>3, Via Beniamino Gigli, Verdi, Macerata, Marche, 62100, Italia</t>
  </si>
  <si>
    <t>VIA MARCHETTI FILIPPO - (con civici dispari da 3 a 35 - con civici pari da 8 a 36)</t>
  </si>
  <si>
    <t>VIA MARCHETTI FILIPPO 3, Macerata, MC, Italia</t>
  </si>
  <si>
    <t>VIA MARCHETTI FILIPPO 8, Macerata, MC, Italia</t>
  </si>
  <si>
    <t>8, Via Filippo Marchetti, Verdi, Macerata, 62100, Italia</t>
  </si>
  <si>
    <t>VIA MERELLI RAFFAELE - (solo civici dispari da 3 fino a 5)</t>
  </si>
  <si>
    <t>VIA MERELLI RAFFAELE 3, Macerata, MC, Italia</t>
  </si>
  <si>
    <t>3, Via Raffaele Merelli, Verdi, Macerata, 62100, Italia</t>
  </si>
  <si>
    <t>VIA PIANESI FRATELLI - (solo civici dispari da 3 fino a 7)</t>
  </si>
  <si>
    <t>VIA PIANESI FRATELLI 3, Macerata, MC, Italia</t>
  </si>
  <si>
    <t>VIA SEVERINI ANTELMO - (solo civici dispari da 5 fino a 19)</t>
  </si>
  <si>
    <t>VIA SEVERINI ANTELMO 5, Macerata, MC, Italia</t>
  </si>
  <si>
    <t>5, Via Antelmo Severini, Verdi, Macerata, 62100, Italia</t>
  </si>
  <si>
    <t>VIA VERDI GIUSEPPE - (solo civico 8)</t>
  </si>
  <si>
    <t>VIA VERDI GIUSEPPE 8, Macerata, MC, Italia</t>
  </si>
  <si>
    <t>Via Giuseppe Verdi, Verdi, Macerata, 62100, Italia</t>
  </si>
  <si>
    <t>VIALE SAN GIOVANNI BOSCO - (solo civici pari da 12 fino a 54)</t>
  </si>
  <si>
    <t>VIALE SAN GIOVANNI BOSCO 12, Macerata, MC, Italia</t>
  </si>
  <si>
    <t>Residenza Universitaria Bartolo da Sassoferrato, 12, Viale San Giovanni Bosco, Verdi, Macerata, 62100, Italia</t>
  </si>
  <si>
    <t>PIAZZA DELLA VITTORIA - (solo civici pari da 2 fino a 16)</t>
  </si>
  <si>
    <t>PIAZZA DELLA VITTORIA 2, Macerata, MC, Italia</t>
  </si>
  <si>
    <t>VIA CIOCI PIERO E LORENZO</t>
  </si>
  <si>
    <t>VIA CIOCI PIERO E LORENZO, Macerata, MC, Italia</t>
  </si>
  <si>
    <t>Via Piero e Lorenzo Cioci, Tre Vie, Fonte Scodella, Macerata, 62100, Italia</t>
  </si>
  <si>
    <t>VIA GASPARRINI GASPARE</t>
  </si>
  <si>
    <t>VIA GASPARRINI GASPARE, Macerata, MC, Italia</t>
  </si>
  <si>
    <t>Via Gaspare Gasparrini, Fonte Scodella, Macerata, Marche, 62100, Italia</t>
  </si>
  <si>
    <t>VIA ISSY LES MOULINEAUX</t>
  </si>
  <si>
    <t>VIA ISSY LES MOULINEAUX, Macerata, MC, Italia</t>
  </si>
  <si>
    <t>VIA ROBUSTI JACOPO - (con civici dispari da 3 a 5 - con civici pari da 4 a 8)</t>
  </si>
  <si>
    <t>VIA ROBUSTI JACOPO</t>
  </si>
  <si>
    <t>VIA ROBUSTI JACOPO 3, Macerata, MC, Italia</t>
  </si>
  <si>
    <t>La siesta, 3, Via Jacopo Robusti, San Francesco, Macerata, Marche, 62100, Italia</t>
  </si>
  <si>
    <t>VIA ROBUSTI JACOPO 4, Macerata, MC, Italia</t>
  </si>
  <si>
    <t>4A, Via Jacopo Robusti, San Francesco, Macerata, Marche, 62100, Italia</t>
  </si>
  <si>
    <t>VIA ROMA - (solo civici pari da 2 fino a 196)</t>
  </si>
  <si>
    <t>VIA ROMA</t>
  </si>
  <si>
    <t>VIA ROMA 2, Macerata, MC, Italia</t>
  </si>
  <si>
    <t>2, Via Roma, Tre Vie, Santa Croce, Macerata, Marche, 62100, Italia</t>
  </si>
  <si>
    <t>PIAZZA INDIPENDENZA - (con civici dispari da 3 a 17 - con civici pari da 4 a 10)</t>
  </si>
  <si>
    <t>PIAZZA INDIPENDENZA</t>
  </si>
  <si>
    <t>PIAZZA INDIPENDENZA 3, Macerata, MC, Italia</t>
  </si>
  <si>
    <t>Piazza Indipendenza, Tre Vie, Santa Croce, Macerata, Italia</t>
  </si>
  <si>
    <t>PIAZZA INDIPENDENZA 4, Macerata, MC, Italia</t>
  </si>
  <si>
    <t>VIA CALABRESI ORESTE</t>
  </si>
  <si>
    <t>VIA CALABRESI ORESTE, Macerata, MC, Italia</t>
  </si>
  <si>
    <t>Via Oreste Calabresi, Tre Vie, Santa Croce, Macerata, 62100, Italia</t>
  </si>
  <si>
    <t>VIA ESPOSITO GIOVANNI - (solo civici pari da 2 fino a 8)</t>
  </si>
  <si>
    <t>VIA ESPOSITO GIOVANNI</t>
  </si>
  <si>
    <t>VIA ESPOSITO GIOVANNI 2, Macerata, MC, Italia</t>
  </si>
  <si>
    <t>Via Giovanni Esposito, Tre Vie, Santa Croce, Macerata, 62100, Italia</t>
  </si>
  <si>
    <t>VIA GIULIOZZI CARLO - (solo civici pari da 6 fino a 24)</t>
  </si>
  <si>
    <t>VIA GIULIOZZI CARLO</t>
  </si>
  <si>
    <t>VIA GIULIOZZI CARLO 6, Macerata, MC, Italia</t>
  </si>
  <si>
    <t>6, Via Carlo Giuliozzi, Tre Vie, Santa Croce, Macerata, Marche, 62100, Italia</t>
  </si>
  <si>
    <t>VIA RICCI ETTORE - (con civici dispari da 7 a 41 - con civici pari da 2 a 60)</t>
  </si>
  <si>
    <t>VIA RICCI ETTORE</t>
  </si>
  <si>
    <t>VIA RICCI ETTORE 7, Macerata, MC, Italia</t>
  </si>
  <si>
    <t>7, Via Ettore Ricci, Tre Vie, Santa Croce, Macerata, Marche, 62100, Italia</t>
  </si>
  <si>
    <t>VIA RICCI ETTORE 2, Macerata, MC, Italia</t>
  </si>
  <si>
    <t>Via Ettore Ricci, Tre Vie, Santa Croce, Macerata, Marche, 62100, Italia</t>
  </si>
  <si>
    <t>VIA ROMA - (solo civici dispari da 19 fino a 183)</t>
  </si>
  <si>
    <t>VIA ROMA 19, Macerata, MC, Italia</t>
  </si>
  <si>
    <t>19, Via Roma, Porto Recanati, Macerata, 62017, Italia</t>
  </si>
  <si>
    <t>VIA SFORZA FRANCESCO - (solo civici pari da 2 fino a 10)</t>
  </si>
  <si>
    <t>VIA SFORZA FRANCESCO</t>
  </si>
  <si>
    <t>VIA SFORZA FRANCESCO 2, Macerata, MC, Italia</t>
  </si>
  <si>
    <t>Via Francesco Sforza, Tre Vie, Santa Croce, Macerata, 62100, Italia</t>
  </si>
  <si>
    <t>VIALE CARRADORI TELESFORO - (con civici dispari da 7 a 27 - con civici pari da 4 a 48)</t>
  </si>
  <si>
    <t>VIALE CARRADORI TELESFORO</t>
  </si>
  <si>
    <t>VIALE CARRADORI TELESFORO 7, Macerata, MC, Italia</t>
  </si>
  <si>
    <t>Viale Telesforo Carradori, Santa Croce, Macerata, 62100, Italia</t>
  </si>
  <si>
    <t>VIALE CARRADORI TELESFORO 4, Macerata, MC, Italia</t>
  </si>
  <si>
    <t>VIALE INDIPENDENZA - (solo civici dispari da 5 fino a 35)</t>
  </si>
  <si>
    <t>VIALE INDIPENDENZA</t>
  </si>
  <si>
    <t>VIALE INDIPENDENZA 5, Macerata, MC, Italia</t>
  </si>
  <si>
    <t>Viale Indipendenza, Tre Vie, Santa Croce, Macerata, 62100, Italia</t>
  </si>
  <si>
    <t>VIALE MARTIRI DELLA LIBERTA' - (con civici dispari da 9 a 59 - con civici pari da 2 a 36)</t>
  </si>
  <si>
    <t>VIALE MARTIRI DELLA LIBERTA'</t>
  </si>
  <si>
    <t>VIALE MARTIRI DELLA LIBERTA' 9, Macerata, MC, Italia</t>
  </si>
  <si>
    <t>Viale Martiri della Libertà, Tre Vie, Santa Croce, Macerata, 62100, Italia</t>
  </si>
  <si>
    <t>VIALE MARTIRI DELLA LIBERTA' 2, Macerata, MC, Italia</t>
  </si>
  <si>
    <t>VICOLO SAN VICINO</t>
  </si>
  <si>
    <t>VICOLO SAN VICINO, Macerata, MC, Italia</t>
  </si>
  <si>
    <t>Vicolo San Vicino, Tre Vie, Santa Croce, Macerata, 62100, Italia</t>
  </si>
  <si>
    <t>VICOLO SANTA CROCE</t>
  </si>
  <si>
    <t>VICOLO SANTA CROCE, Macerata, MC, Italia</t>
  </si>
  <si>
    <t>Vicolo Santa Croce, Tre Vie, Santa Croce, Macerata, 62100, Italia</t>
  </si>
  <si>
    <t>BORGO SANTA CROCE - (solo civici dispari da 1 fino a 109)</t>
  </si>
  <si>
    <t>BORGO SANTA CROCE</t>
  </si>
  <si>
    <t>BORGO SANTA CROCE 1, Macerata, MC, Italia</t>
  </si>
  <si>
    <t>1, Borgo Santa Croce, Tre Vie, Santa Croce, Macerata, 62100, Italia</t>
  </si>
  <si>
    <t>VIA GIULIOZZI CARLO - (solo civici dispari da 1 fino a 19)</t>
  </si>
  <si>
    <t>VIA GIULIOZZI CARLO 1, Macerata, MC, Italia</t>
  </si>
  <si>
    <t>Dentista Simonacci, 1, Via Carlo Giuliozzi, Tre Vie, Santa Croce, Macerata, Marche, 62100, Italia</t>
  </si>
  <si>
    <t>VIA MICOZZI-FERRI BIAGIO</t>
  </si>
  <si>
    <t>VIA MICOZZI</t>
  </si>
  <si>
    <t>VIA MICOZZI, Macerata, MC, Italia</t>
  </si>
  <si>
    <t>Via Biagio Micozzi Ferri, Tre Vie, Santa Croce, Macerata, Marche, 62100, Italia</t>
  </si>
  <si>
    <t>VIA PALMARINI UBERTO</t>
  </si>
  <si>
    <t>VIA PALMARINI UBERTO, Macerata, MC, Italia</t>
  </si>
  <si>
    <t>Via Uberto Palmarini, Tre Vie, Santa Croce, Macerata, 62100, Italia</t>
  </si>
  <si>
    <t>VIA PICCININO NICCOLO'</t>
  </si>
  <si>
    <t>VIA PICCININO NICCOLO', Macerata, MC, Italia</t>
  </si>
  <si>
    <t>VIA SFORZA FRANCESCO - (con civici dispari da 1 a 119 - con civici pari da 14 a 158)</t>
  </si>
  <si>
    <t>VIA SFORZA FRANCESCO 1, Macerata, MC, Italia</t>
  </si>
  <si>
    <t>VIA SFORZA FRANCESCO 14, Macerata, MC, Italia</t>
  </si>
  <si>
    <t>VIA VALENTI GHINO - (solo civici pari da 2 fino a 22)</t>
  </si>
  <si>
    <t>VIA VALENTI GHINO 2, Macerata, MC, Italia</t>
  </si>
  <si>
    <t>2, Via Ghino Valenti, Tre Vie, Santa Croce, Macerata, Marche, 62100, Italia</t>
  </si>
  <si>
    <t>VIALE INDIPENDENZA - (solo civici dispari da 49 fino a 69)</t>
  </si>
  <si>
    <t>VIALE INDIPENDENZA 49, Macerata, MC, Italia</t>
  </si>
  <si>
    <t>BORGO SANTA CROCE - (con civici dispari da 111 a 169 - con civici pari da 2 a 74)</t>
  </si>
  <si>
    <t>BORGO SANTA CROCE 111, Macerata, MC, Italia</t>
  </si>
  <si>
    <t>Borgo Santa Croce, Tre Vie, Santa Croce, Macerata, Marche, 62100, Italia</t>
  </si>
  <si>
    <t>BORGO SANTA CROCE 2, Macerata, MC, Italia</t>
  </si>
  <si>
    <t>CONTRADA MONTALBANO - (con civici dispari da 7 a 25 - con civici pari da 8 a 26/A)</t>
  </si>
  <si>
    <t>CONTRADA MONTALBANO</t>
  </si>
  <si>
    <t>CONTRADA MONTALBANO 7, Macerata, MC, Italia</t>
  </si>
  <si>
    <t>CONTRADA MONTALBANO 8, Macerata, MC, Italia</t>
  </si>
  <si>
    <t>VIA ARCANGELI DON PACIFICO - (solo civici dispari da 1 fino a 47)</t>
  </si>
  <si>
    <t>VIA ARCANGELI DON PACIFICO</t>
  </si>
  <si>
    <t>VIA ARCANGELI DON PACIFICO 1, Macerata, MC, Italia</t>
  </si>
  <si>
    <t>VIA BUROCCHI GIOVANNI</t>
  </si>
  <si>
    <t>VIA BUROCCHI GIOVANNI, Macerata, MC, Italia</t>
  </si>
  <si>
    <t>Via Giovanni Burocchi, Tre Vie, Colleverde, Macerata, 62100, Italia</t>
  </si>
  <si>
    <t>VIA CERVI FRATELLI</t>
  </si>
  <si>
    <t>VIA CERVI FRATELLI, Macerata, MC, Italia</t>
  </si>
  <si>
    <t>Via Fratelli Cervi, Colleverde, Macerata, 62100, Italia</t>
  </si>
  <si>
    <t>VIA CICALE' LIVIO - (solo civici dispari da 9 fino a 55)</t>
  </si>
  <si>
    <t>VIA CICALE' LIVIO</t>
  </si>
  <si>
    <t>VIA CICALE' LIVIO 9, Macerata, MC, Italia</t>
  </si>
  <si>
    <t>Via Livio Cicalè, Colleverde, Macerata, 62100, Italia</t>
  </si>
  <si>
    <t>VIA LORENZONI MARIA ASSUNTA - (solo civici dispari da 155 fino a 173)</t>
  </si>
  <si>
    <t>VIA LORENZONI MARIA ASSUNTA</t>
  </si>
  <si>
    <t>VIA LORENZONI MARIA ASSUNTA 155, Macerata, MC, Italia</t>
  </si>
  <si>
    <t>VIA SORCINELLI CARLO</t>
  </si>
  <si>
    <t>VIA SORCINELLI CARLO, Macerata, MC, Italia</t>
  </si>
  <si>
    <t>Via Carlo Sorcinelli, Tre Vie, Colleverde, Macerata, 62100, Italia</t>
  </si>
  <si>
    <t>VIA VALENTI GHINO - (solo civici pari da 70 fino a 90)</t>
  </si>
  <si>
    <t>VIA VALENTI GHINO 70, Macerata, MC, Italia</t>
  </si>
  <si>
    <t>Via Ghino Valenti, Villa Potenza, Macerata, 62100, Italia</t>
  </si>
  <si>
    <t>VIA ZINCONE MANLIO</t>
  </si>
  <si>
    <t>VIA ZINCONE MANLIO, Macerata, MC, Italia</t>
  </si>
  <si>
    <t>Via Manlio Zincone, Tre Vie, Colleverde, Macerata, 62100, Italia</t>
  </si>
  <si>
    <t>VIALE INDIPENDENZA - (solo civici dispari da 73 fino a 75)</t>
  </si>
  <si>
    <t>VIALE INDIPENDENZA 73, Macerata, MC, Italia</t>
  </si>
  <si>
    <t>Viale Indipendenza, Colleverde, Macerata, 62100, Italia</t>
  </si>
  <si>
    <t>PIAZZALE FATTORINI MARIO</t>
  </si>
  <si>
    <t>PIAZZALE FATTORINI MARIO, Macerata, MC, Italia</t>
  </si>
  <si>
    <t>Piazzale Mario Fattorini, Colleverde, Macerata, Italia</t>
  </si>
  <si>
    <t>VIA ARCANGELI DON PACIFICO - (solo civici pari da 10 fino a 36)</t>
  </si>
  <si>
    <t>VIA ARCANGELI DON PACIFICO 10, Macerata, MC, Italia</t>
  </si>
  <si>
    <t>Via Don Pacifico Arcangeli, Colleverde, Macerata, 62100, Italia</t>
  </si>
  <si>
    <t>VIA BIAGIOTTI GIUSEPPE - (solo civici dispari da 47 fino a 63)</t>
  </si>
  <si>
    <t>VIA BIAGIOTTI GIUSEPPE</t>
  </si>
  <si>
    <t>VIA BIAGIOTTI GIUSEPPE 47, Macerata, MC, Italia</t>
  </si>
  <si>
    <t>Via Giuseppe Biagiotti, Colleverde, Macerata, 62100, Italia</t>
  </si>
  <si>
    <t>VIA CICALE' LIVIO - (solo civici pari da 6 fino a 10)</t>
  </si>
  <si>
    <t>VIA CICALE' LIVIO 6, Macerata, MC, Italia</t>
  </si>
  <si>
    <t>VIA FOSSE ARDEATINE</t>
  </si>
  <si>
    <t>VIA FOSSE ARDEATINE, Macerata, MC, Italia</t>
  </si>
  <si>
    <t>Via Fosse Ardeatine, Colleverde, Macerata, 62100, Italia</t>
  </si>
  <si>
    <t>VIA LORENZONI MARIA ASSUNTA - (con civici dispari da 1 a 103 - con civici pari da 10 a 114)</t>
  </si>
  <si>
    <t>VIA LORENZONI MARIA ASSUNTA 1, Macerata, MC, Italia</t>
  </si>
  <si>
    <t>VIA LORENZONI MARIA ASSUNTA 10, Macerata, MC, Italia</t>
  </si>
  <si>
    <t>VIA ROMAGNOLI DANTE</t>
  </si>
  <si>
    <t>VIA ROMAGNOLI DANTE, Macerata, MC, Italia</t>
  </si>
  <si>
    <t>Via Dante Romagnoli, Colleverde, Macerata, 62100, Italia</t>
  </si>
  <si>
    <t>VIALE INDIPENDENZA - (solo civici dispari da 77 fino a 85)</t>
  </si>
  <si>
    <t>VIALE INDIPENDENZA 77, Macerata, MC, Italia</t>
  </si>
  <si>
    <t>CONTRADA LORNANO</t>
  </si>
  <si>
    <t>CONTRADA LORNANO, Macerata, MC, Italia</t>
  </si>
  <si>
    <t>Contrada Lornano, Colleverde, Macerata, 62100, Italia</t>
  </si>
  <si>
    <t>CONTRADA MONTALBANO - (con civici dispari da 29 a 69/B - con civici pari da 28 a 46/A)</t>
  </si>
  <si>
    <t>CONTRADA MONTALBANO 29, Macerata, MC, Italia</t>
  </si>
  <si>
    <t>CONTRADA MONTALBANO 28, Macerata, MC, Italia</t>
  </si>
  <si>
    <t>CONTRADA MOZZAVINCI</t>
  </si>
  <si>
    <t>CONTRADA MOZZAVINCI, Macerata, MC, Italia</t>
  </si>
  <si>
    <t>Contrada Mozzavinci, Macerata, Italia</t>
  </si>
  <si>
    <t>VIA BIAGIOTTI GIUSEPPE - (solo civici dispari da 1 fino a 37)</t>
  </si>
  <si>
    <t>VIA BIAGIOTTI GIUSEPPE 1, Macerata, MC, Italia</t>
  </si>
  <si>
    <t>VIA CECCARONI MARIO</t>
  </si>
  <si>
    <t>VIA CECCARONI MARIO, Macerata, MC, Italia</t>
  </si>
  <si>
    <t>Via Mario Ceccaroni, Santa Croce, Macerata, 62100, Italia</t>
  </si>
  <si>
    <t>VIA GALILEI GALILEO</t>
  </si>
  <si>
    <t>VIA GALILEI GALILEO, Macerata, MC, Italia</t>
  </si>
  <si>
    <t>Via Galileo Galilei, Scuola Agraria, Macerata, 62100, Italia</t>
  </si>
  <si>
    <t>VIALE INDIPENDENZA - (con civici dispari da 97 a 141 - con civici pari da 22 a 168)</t>
  </si>
  <si>
    <t>VIALE INDIPENDENZA 97, Macerata, MC, Italia</t>
  </si>
  <si>
    <t>VIALE INDIPENDENZA 22, Macerata, MC, Italia</t>
  </si>
  <si>
    <t>BELVEDERE SANZIO RAFFAELLO</t>
  </si>
  <si>
    <t>BELVEDERE SANZIO RAFFAELLO, Macerata, MC, Italia</t>
  </si>
  <si>
    <t>Belvedere Raffaello Sanzio, Tre Vie, Santa Croce, Macerata, 62100, Italia</t>
  </si>
  <si>
    <t>PIAZZA INDIPENDENZA - (con civici dispari 1 - con civici pari 2,2,2)</t>
  </si>
  <si>
    <t>PIAZZA INDIPENDENZA 1, Macerata, MC, Italia</t>
  </si>
  <si>
    <t>PIAZZA INDIPENDENZA 2, Macerata, MC, Italia</t>
  </si>
  <si>
    <t>VIA ESPOSITO GIOVANNI - (solo civici dispari da 5 fino a 13)</t>
  </si>
  <si>
    <t>VIA ESPOSITO GIOVANNI 5, Macerata, MC, Italia</t>
  </si>
  <si>
    <t>VIA RICCI ETTORE - (solo civici dispari da 81 fino a 127)</t>
  </si>
  <si>
    <t>VIA RICCI ETTORE 81, Macerata, MC, Italia</t>
  </si>
  <si>
    <t>VIA ROSATI ROSATO</t>
  </si>
  <si>
    <t>VIA ROSATI ROSATO, Macerata, MC, Italia</t>
  </si>
  <si>
    <t>Via Rosato Rosati, Santa Croce, Macerata, Marche, 62100, Italia</t>
  </si>
  <si>
    <t>VIA SPALATO - (con civici dispari da 3 a 147 - con civici pari da 2 a 84)</t>
  </si>
  <si>
    <t>VIA SPALATO</t>
  </si>
  <si>
    <t>VIA SPALATO 3, Macerata, MC, Italia</t>
  </si>
  <si>
    <t>Via Spalato, Tre Vie, Santa Croce, Macerata, 62100, Italia</t>
  </si>
  <si>
    <t>VIA SPALATO 2, Macerata, MC, Italia</t>
  </si>
  <si>
    <t>VIA TIBALDI PELLEGRINO</t>
  </si>
  <si>
    <t>VIA TIBALDI PELLEGRINO, Macerata, MC, Italia</t>
  </si>
  <si>
    <t>Via Pellegrino Tibaldi, Santa Croce, Macerata, 62100, Italia</t>
  </si>
  <si>
    <t>VIA VANVITELLI LUIGI - (solo civici dispari da 1 fino a 47)</t>
  </si>
  <si>
    <t>VIA VANVITELLI LUIGI</t>
  </si>
  <si>
    <t>VIA VANVITELLI LUIGI 1, Macerata, MC, Italia</t>
  </si>
  <si>
    <t>Via Luigi Vanvitelli, Santa Croce, Macerata, Marche, 62100, Italia</t>
  </si>
  <si>
    <t>VIALE CARRADORI TELESFORO - (con civici dispari da 31 a 47 - con civici pari da 50 a 90)</t>
  </si>
  <si>
    <t>VIALE CARRADORI TELESFORO 31, Macerata, MC, Italia</t>
  </si>
  <si>
    <t>VIALE CARRADORI TELESFORO 50, Macerata, MC, Italia</t>
  </si>
  <si>
    <t>VIALE INDIPENDENZA - (solo civici pari da 2 fino a 10)</t>
  </si>
  <si>
    <t>VIALE INDIPENDENZA 2, Macerata, MC, Italia</t>
  </si>
  <si>
    <t>VIALE MARTIRI DELLA LIBERTA' - (solo civico 40)</t>
  </si>
  <si>
    <t>VIALE MARTIRI DELLA LIBERTA' 40, Macerata, MC, Italia</t>
  </si>
  <si>
    <t>Viale Martiri della Libertà, Tre Vie, Santa Croce, Macerata, Marche, 62100, Italia</t>
  </si>
  <si>
    <t>VIA GIULIANO DA MAJANO - (solo civici dispari da 1 fino a 43)</t>
  </si>
  <si>
    <t>VIA GIULIANO DA MAJANO</t>
  </si>
  <si>
    <t>VIA GIULIANO DA MAJANO 1, Macerata, MC, Italia</t>
  </si>
  <si>
    <t>Via Giuliano da Majano, San Francesco, Macerata, 62100, Italia</t>
  </si>
  <si>
    <t>VIA MAZENTA AMBROGIO - (solo civici pari da 2 fino a 14)</t>
  </si>
  <si>
    <t>VIA MAZENTA AMBROGIO</t>
  </si>
  <si>
    <t>VIA MAZENTA AMBROGIO 2, Macerata, MC, Italia</t>
  </si>
  <si>
    <t>Via Ambrogio Mazenta, San Francesco, Macerata, 62100, Italia</t>
  </si>
  <si>
    <t>VIA MORELLI COSIMO</t>
  </si>
  <si>
    <t>VIA MORELLI COSIMO, Macerata, MC, Italia</t>
  </si>
  <si>
    <t>Via Cosimo Morelli, San Francesco, Macerata, 62100, Italia</t>
  </si>
  <si>
    <t>VIA RESSE CRISTOFORO - (con civici dispari da 15 a 43 - con civici pari da 6 a 8)</t>
  </si>
  <si>
    <t>VIA RESSE CRISTOFORO</t>
  </si>
  <si>
    <t>VIA RESSE CRISTOFORO 15, Macerata, MC, Italia</t>
  </si>
  <si>
    <t>Via Cristoforo Resse, Santa Croce, Macerata, Marche, 62100, Italia</t>
  </si>
  <si>
    <t>VIA RESSE CRISTOFORO 6, Macerata, MC, Italia</t>
  </si>
  <si>
    <t>VIA SPALATO - (solo civici dispari da 63 fino a 75)</t>
  </si>
  <si>
    <t>VIA SPALATO 63, Macerata, MC, Italia</t>
  </si>
  <si>
    <t>63, Via Spalato, San Francesco, Macerata, Marche, 62100, Italia</t>
  </si>
  <si>
    <t>VIA VALADIER GIUSEPPE</t>
  </si>
  <si>
    <t>VIA VALADIER GIUSEPPE, Macerata, MC, Italia</t>
  </si>
  <si>
    <t>Via Giuseppe Valadier, San Francesco, Macerata, 62100, Italia</t>
  </si>
  <si>
    <t>VIA VANVITELLI LUIGI - (solo civici pari da 26 fino a 92)</t>
  </si>
  <si>
    <t>VIA VANVITELLI LUIGI 26, Macerata, MC, Italia</t>
  </si>
  <si>
    <t>26, Via Luigi Vanvitelli, Santa Croce, Macerata, Marche, 62100, Italia</t>
  </si>
  <si>
    <t>VIA ANTOLISEI LAMBERTO</t>
  </si>
  <si>
    <t>VIA ANTOLISEI LAMBERTO, Macerata, MC, Italia</t>
  </si>
  <si>
    <t>Via Lamberto Antolisei, San Francesco, Macerata, 62100, Italia</t>
  </si>
  <si>
    <t>VIA BETTI UGO</t>
  </si>
  <si>
    <t>VIA BETTI UGO, Macerata, MC, Italia</t>
  </si>
  <si>
    <t>Via Ugo Betti, San Francesco, Macerata, Marche, 62100, Italia</t>
  </si>
  <si>
    <t>VIA CADUTI DELLE FORZE DELL'ORDINE</t>
  </si>
  <si>
    <t>VIA CADUTI DELLE FORZE DELL'ORDINE, Macerata, MC, Italia</t>
  </si>
  <si>
    <t>VIA CAMPANILE ACHILLE</t>
  </si>
  <si>
    <t>VIA CAMPANILE ACHILLE, Macerata, MC, Italia</t>
  </si>
  <si>
    <t>Via Achille Campanile, San Francesco, Macerata, 62100, Italia</t>
  </si>
  <si>
    <t>VIA CASSIANO DA FABRIANO - (con civici dispari da 59 a 85/E - con civici pari da 64 a 86)</t>
  </si>
  <si>
    <t>VIA CASSIANO DA FABRIANO</t>
  </si>
  <si>
    <t>VIA CASSIANO DA FABRIANO 59, Macerata, MC, Italia</t>
  </si>
  <si>
    <t>Via Cassiano da Fabriano, San Francesco, Macerata, 62100, Italia</t>
  </si>
  <si>
    <t>VIA CASSIANO DA FABRIANO 64, Macerata, MC, Italia</t>
  </si>
  <si>
    <t>VIA MAZENTA AMBROGIO - (solo civici dispari da 1 fino a 47)</t>
  </si>
  <si>
    <t>VIA MAZENTA AMBROGIO 1, Macerata, MC, Italia</t>
  </si>
  <si>
    <t>VIA PREZZOLINI GIUSEPPE</t>
  </si>
  <si>
    <t>VIA PREZZOLINI GIUSEPPE, Macerata, MC, Italia</t>
  </si>
  <si>
    <t>Via Giuseppe Prezzolini, San Francesco, Macerata, 62100, Italia</t>
  </si>
  <si>
    <t>VIA RESSE CRISTOFORO - (solo civici pari da 14 fino a 38)</t>
  </si>
  <si>
    <t>VIA RESSE CRISTOFORO 14, Macerata, MC, Italia</t>
  </si>
  <si>
    <t>Via Cristoforo Resse, Santa Croce, Macerata, 62100, Italia</t>
  </si>
  <si>
    <t>VIA SILONE IGNAZIO - (solo civici dispari da 11 fino a 103)</t>
  </si>
  <si>
    <t>VIA SILONE IGNAZIO</t>
  </si>
  <si>
    <t>VIA SILONE IGNAZIO 11, Macerata, MC, Italia</t>
  </si>
  <si>
    <t>Via Ignazio Silone, San Francesco, Macerata, 62100, Italia</t>
  </si>
  <si>
    <t>PIAZZALE SAN FRANCESCO D'ASSISI</t>
  </si>
  <si>
    <t>PIAZZALE SAN FRANCESCO D'ASSISI, Macerata, MC, Italia</t>
  </si>
  <si>
    <t>VIA CASSIANO DA FABRIANO - (con civici dispari da 3 a 3 - con civici pari da 2 a 50)</t>
  </si>
  <si>
    <t>VIA CASSIANO DA FABRIANO 3, Macerata, MC, Italia</t>
  </si>
  <si>
    <t>VIA CASSIANO DA FABRIANO 2, Macerata, MC, Italia</t>
  </si>
  <si>
    <t>VIA GASPARRI CARDINALE PIETRO</t>
  </si>
  <si>
    <t>VIA GASPARRI CARDINALE PIETRO, Macerata, MC, Italia</t>
  </si>
  <si>
    <t>VIA GIULIANO DA MAJANO - (solo civici pari da 4 fino a 42)</t>
  </si>
  <si>
    <t>VIA GIULIANO DA MAJANO 4, Macerata, MC, Italia</t>
  </si>
  <si>
    <t>VIA LORI FERDINANDO</t>
  </si>
  <si>
    <t>VIA LORI FERDINANDO, Macerata, MC, Italia</t>
  </si>
  <si>
    <t>Via Ferdinando Lori, San Francesco, Macerata, 62100, Italia</t>
  </si>
  <si>
    <t>VIA MANCIOLI GIUSEPPE</t>
  </si>
  <si>
    <t>VIA MANCIOLI GIUSEPPE, Macerata, MC, Italia</t>
  </si>
  <si>
    <t>Via Giuseppe Mancioli, San Francesco, Macerata, 62100, Italia</t>
  </si>
  <si>
    <t>VIA ROMA - (solo civici dispari da 199 fino a 285)</t>
  </si>
  <si>
    <t>VIA ROMA 199, Macerata, MC, Italia</t>
  </si>
  <si>
    <t>Via Roma, San Francesco, Macerata, 62100, Italia</t>
  </si>
  <si>
    <t>VIA SILONE IGNAZIO - (solo civici pari da 4 fino a 52)</t>
  </si>
  <si>
    <t>VIA SILONE IGNAZIO 4, Macerata, MC, Italia</t>
  </si>
  <si>
    <t>VIA SPALATO - (con civici dispari da 85 a 173 - con civici pari da 92 a 124/B)</t>
  </si>
  <si>
    <t>VIA SPALATO 85, Macerata, MC, Italia</t>
  </si>
  <si>
    <t>VIA SPALATO 92, Macerata, MC, Italia</t>
  </si>
  <si>
    <t>VIA CONTINI GIOVAN BATTISTA</t>
  </si>
  <si>
    <t>VIA CONTINI GIOVAN BATTISTA, Macerata, MC, Italia</t>
  </si>
  <si>
    <t>Via Giovan Battista Contini, San Francesco, Macerata, 62100, Italia</t>
  </si>
  <si>
    <t>VIA CRIVELLI CARLO</t>
  </si>
  <si>
    <t>VIA CRIVELLI CARLO, Macerata, MC, Italia</t>
  </si>
  <si>
    <t>Via Carlo Crivelli, San Francesco, Macerata, Marche, 62100, Italia</t>
  </si>
  <si>
    <t>VIA DI PIETRO GIOVANNI</t>
  </si>
  <si>
    <t>VIA DI PIETRO GIOVANNI, Macerata, MC, Italia</t>
  </si>
  <si>
    <t>VIA MACERATA - (con civici dispari 7,7/CP16V.,9,9/C.P.33,15 - con civici pari 2/C POS1,4)</t>
  </si>
  <si>
    <t>VIA MACERATA 7, Macerata, MC, Italia</t>
  </si>
  <si>
    <t>7, Via Macerata, Contrada Paganuccia, Montefano, Macerata, 62010, Italia</t>
  </si>
  <si>
    <t>VIA MANCINI FRANCESCO</t>
  </si>
  <si>
    <t>VIA MANCINI FRANCESCO 2, Macerata, MC, Italia</t>
  </si>
  <si>
    <t>Via Francesco Mancini, San Francesco, Macerata, Marche, 62100, Italia</t>
  </si>
  <si>
    <t>VIA NOBILI DURANTE</t>
  </si>
  <si>
    <t>VIA NOBILI DURANTE, Macerata, MC, Italia</t>
  </si>
  <si>
    <t>Via Durante Nobili, San Francesco, Macerata, 62100, Italia</t>
  </si>
  <si>
    <t>VIA NUZI ALLEGRETTO</t>
  </si>
  <si>
    <t>VIA NUZI ALLEGRETTO, Macerata, MC, Italia</t>
  </si>
  <si>
    <t>Via Allegretto Nuzi, San Francesco, Macerata, Marche, 62100, Italia</t>
  </si>
  <si>
    <t>VIA ROBUSTI JACOPO - (con civici dispari da 17 a 55 - con civici pari da 24 a 44)</t>
  </si>
  <si>
    <t>VIA ROBUSTI JACOPO 17, Macerata, MC, Italia</t>
  </si>
  <si>
    <t>Via Jacopo Robusti, San Francesco, Macerata, Marche, 62100, Italia</t>
  </si>
  <si>
    <t>VIA ROBUSTI JACOPO 24, Macerata, MC, Italia</t>
  </si>
  <si>
    <t>24, Via Jacopo Robusti, San Francesco, Macerata, Marche, 62100, Italia</t>
  </si>
  <si>
    <t>VIA ROMA - (solo civici pari da 208 fino a 272)</t>
  </si>
  <si>
    <t>VIA ROMA 208, Macerata, MC, Italia</t>
  </si>
  <si>
    <t>VIA SPADONI DOMENICO E GIOVANNI</t>
  </si>
  <si>
    <t>VIA SPADONI DOMENICO E GIOVANNI, Macerata, MC, Italia</t>
  </si>
  <si>
    <t>VIA SPALATO - (solo civici pari da 132 fino a 136)</t>
  </si>
  <si>
    <t>VIA SPALATO 132, Macerata, MC, Italia</t>
  </si>
  <si>
    <t>132, Via Spalato, San Francesco, Macerata, Marche, 62100, Italia</t>
  </si>
  <si>
    <t>VIA BARTOLINI LUIGI</t>
  </si>
  <si>
    <t>VIA BARTOLINI LUIGI, Macerata, MC, Italia</t>
  </si>
  <si>
    <t>Via Luigi Bartolini, San Francesco, Macerata, 62100, Italia</t>
  </si>
  <si>
    <t>VIA CARDARELLI VINCENZO</t>
  </si>
  <si>
    <t>VIA CARDARELLI VINCENZO, Macerata, MC, Italia</t>
  </si>
  <si>
    <t>Via Vincenzo Cardarelli, Collevario, Macerata, 62100, Italia</t>
  </si>
  <si>
    <t>VIA ROMA - (solo civici dispari da 287 fino a 295)</t>
  </si>
  <si>
    <t>VIA ROMA 287, Macerata, MC, Italia</t>
  </si>
  <si>
    <t>VIA UNGARETTI GIUSEPPE - (solo civici dispari da 19 fino a 41)</t>
  </si>
  <si>
    <t>VIA UNGARETTI GIUSEPPE</t>
  </si>
  <si>
    <t>VIA UNGARETTI GIUSEPPE 19, Macerata, MC, Italia</t>
  </si>
  <si>
    <t>19, Via Giuseppe Ungaretti, Montecassiano, Macerata, Marche, 62010, Italia</t>
  </si>
  <si>
    <t>VIA VERGA GIOVANNI - (con civici dispari da 3 a 37 - con civici pari da 2 a 68)</t>
  </si>
  <si>
    <t>VIA VERGA GIOVANNI</t>
  </si>
  <si>
    <t>VIA VERGA GIOVANNI 3, Macerata, MC, Italia</t>
  </si>
  <si>
    <t>3, Via Giovanni Verga, Trodica, Morrovalle, Macerata, 62010, Italia</t>
  </si>
  <si>
    <t>VIA VERGA GIOVANNI 2, Macerata, MC, Italia</t>
  </si>
  <si>
    <t>2, Via Giovanni Verga, Trodica, Morrovalle, Macerata, 62010, Italia</t>
  </si>
  <si>
    <t>CONTRADA COLLEVARIO</t>
  </si>
  <si>
    <t>CONTRADA COLLEVARIO, Macerata, MC, Italia</t>
  </si>
  <si>
    <t>Contrada Collevario, Collevario, Macerata, 62100, Italia</t>
  </si>
  <si>
    <t>CONTRADA FONTESCODELLA - (con civici dispari da 17 a 43/C - con civici pari da 18 a 44)</t>
  </si>
  <si>
    <t>CONTRADA FONTESCODELLA 17, Macerata, MC, Italia</t>
  </si>
  <si>
    <t>CONTRADA FONTESCODELLA 18, Macerata, MC, Italia</t>
  </si>
  <si>
    <t>VIA CECCHI EMILIO</t>
  </si>
  <si>
    <t>VIA CECCHI EMILIO, Macerata, MC, Italia</t>
  </si>
  <si>
    <t>Via Emilio Cecchi, Collevario, Macerata, 62100, Italia</t>
  </si>
  <si>
    <t>VIA MATTEI ENRICO - (solo civico 10)</t>
  </si>
  <si>
    <t>VIA MATTEI ENRICO 10, Macerata, MC, Italia</t>
  </si>
  <si>
    <t>10, Via Enrico Mattei, Zona Industriale A, Civitanova Marche, Macerata, Marche, 62012, Italia</t>
  </si>
  <si>
    <t>VIA MONTALE EUGENIO - (solo civici dispari da 15 fino a 25)</t>
  </si>
  <si>
    <t>VIA MONTALE EUGENIO</t>
  </si>
  <si>
    <t>VIA MONTALE EUGENIO 15, Macerata, MC, Italia</t>
  </si>
  <si>
    <t>15, Via Eugenio Montale, Collevario, Macerata, Marche, 62100, Italia</t>
  </si>
  <si>
    <t>VIA PAVESE CESARE - (solo civici pari da 2 fino a 66)</t>
  </si>
  <si>
    <t>VIA PAVESE CESARE</t>
  </si>
  <si>
    <t>VIA PAVESE CESARE 2, Macerata, MC, Italia</t>
  </si>
  <si>
    <t>Via Cesare Pavese, Collevario, Macerata, Marche, 62100, Italia</t>
  </si>
  <si>
    <t>VIA PIRANDELLO LUIGI - (con civici dispari da 31 a 53 - con civici pari da 4 a 20)</t>
  </si>
  <si>
    <t>VIA PIRANDELLO LUIGI</t>
  </si>
  <si>
    <t>VIA PIRANDELLO LUIGI 31, Macerata, MC, Italia</t>
  </si>
  <si>
    <t>Via Luigi Pirandello, Collevario, Macerata, Marche, 62100, Italia</t>
  </si>
  <si>
    <t>VIA PIRANDELLO LUIGI 4, Macerata, MC, Italia</t>
  </si>
  <si>
    <t>4, Via Luigi Pirandello, San Giuseppe, San Marone, Civitanova Marche, Macerata, Marche, 62012, Italia</t>
  </si>
  <si>
    <t>VIA ROMA - (con civici dispari da 381 a 401 - con civici pari da 350 a 404)</t>
  </si>
  <si>
    <t>VIA ROMA 381, Macerata, MC, Italia</t>
  </si>
  <si>
    <t>VIA ROMA 350, Macerata, MC, Italia</t>
  </si>
  <si>
    <t>VIA UNGARETTI GIUSEPPE - (solo civici pari da 14 fino a 100)</t>
  </si>
  <si>
    <t>VIA UNGARETTI GIUSEPPE 14, Macerata, MC, Italia</t>
  </si>
  <si>
    <t>Via Giuseppe Ungaretti, San Giuseppe, San Marone, Civitanova Marche, Macerata, Marche, 62012, Italia</t>
  </si>
  <si>
    <t>VIA VERGA GIOVANNI - (solo civici pari da 150 fino a 200)</t>
  </si>
  <si>
    <t>VIA VERGA GIOVANNI 150, Macerata, MC, Italia</t>
  </si>
  <si>
    <t>via Giovanni Verga, Collevario, Macerata, Marche, 62100, Italia</t>
  </si>
  <si>
    <t>VIA MACERATA - (solo civico 1/C OPAD)</t>
  </si>
  <si>
    <t>VIA MONTALE EUGENIO - (solo civici pari da 28 fino a 30)</t>
  </si>
  <si>
    <t>VIA MONTALE EUGENIO 28, Macerata, MC, Italia</t>
  </si>
  <si>
    <t>Via Eugenio Montale, Collevario, Macerata, Marche, 62100, Italia</t>
  </si>
  <si>
    <t>VIA PAVESE CESARE - (con civici dispari da 5 a 45 - con civici pari da 46 a 46)</t>
  </si>
  <si>
    <t>VIA PAVESE CESARE 5, Macerata, MC, Italia</t>
  </si>
  <si>
    <t>5, Via Cesare Pavese, San Giuseppe, San Marone, Civitanova Marche, Macerata, Marche, 62012, Italia</t>
  </si>
  <si>
    <t>VIA PAVESE CESARE 46, Macerata, MC, Italia</t>
  </si>
  <si>
    <t>VIA PIRANDELLO LUIGI - (solo civici dispari da 3 fino a 29/A)</t>
  </si>
  <si>
    <t>VIA PIRANDELLO LUIGI 3, Macerata, MC, Italia</t>
  </si>
  <si>
    <t>3, Via Luigi Pirandello, San Giuseppe, San Marone, Civitanova Marche, Macerata, Marche, 62012, Italia</t>
  </si>
  <si>
    <t>VIA QUASIMODO SALVATORE</t>
  </si>
  <si>
    <t>VIA QUASIMODO SALVATORE, Macerata, MC, Italia</t>
  </si>
  <si>
    <t>Via Salvatore Quasimodo, Collevario, Macerata, Marche, 62100, Italia</t>
  </si>
  <si>
    <t>VIA VERGA GIOVANNI - (con civici dispari da 39 a 293 - con civici pari da 90 a 258)</t>
  </si>
  <si>
    <t>VIA VERGA GIOVANNI 39, Macerata, MC, Italia</t>
  </si>
  <si>
    <t>VIA VERGA GIOVANNI 90, Macerata, MC, Italia</t>
  </si>
  <si>
    <t>BORGO COMPAGNONI POMPEO</t>
  </si>
  <si>
    <t>BORGO COMPAGNONI POMPEO, Macerata, MC, Italia</t>
  </si>
  <si>
    <t>Borgo Pompeo Compagnoni, Montanello, Villa Potenza, Macerata, 62100, Italia</t>
  </si>
  <si>
    <t>BORGO PERANZONI NICOLO' - (con civici dispari da 1 a 107 - con civici pari da 4 a 92)</t>
  </si>
  <si>
    <t>BORGO PERANZONI NICOLO'</t>
  </si>
  <si>
    <t>BORGO PERANZONI NICOLO' 1, Macerata, MC, Italia</t>
  </si>
  <si>
    <t>Borgo Nicolò Peranzoni, Villa Potenza, Macerata, 62100, Italia</t>
  </si>
  <si>
    <t>BORGO PERANZONI NICOLO' 4, Macerata, MC, Italia</t>
  </si>
  <si>
    <t>CONTRADA MONTANELLO</t>
  </si>
  <si>
    <t>CONTRADA MONTANELLO, Macerata, MC, Italia</t>
  </si>
  <si>
    <t>Contrada Montanello, Macerata, 62100, Italia</t>
  </si>
  <si>
    <t>CONTRADA POTENZA - (con civici dispari da 41 a 49 - con civici pari da 40 a 52)</t>
  </si>
  <si>
    <t>CONTRADA POTENZA</t>
  </si>
  <si>
    <t>CONTRADA POTENZA 41, Macerata, MC, Italia</t>
  </si>
  <si>
    <t>Contrada Potenza, Potenza Picena, Macerata, Italia</t>
  </si>
  <si>
    <t>CONTRADA POTENZA 40, Macerata, MC, Italia</t>
  </si>
  <si>
    <t>CONTRADA ROTACUPA</t>
  </si>
  <si>
    <t>CONTRADA ROTACUPA, Macerata, MC, Italia</t>
  </si>
  <si>
    <t>Contrada Rotacupa, Macerata, Italia</t>
  </si>
  <si>
    <t>VIA COPPI FAUSTO</t>
  </si>
  <si>
    <t>VIA COPPI FAUSTO, Macerata, MC, Italia</t>
  </si>
  <si>
    <t>Via Fausto Coppi, Villa Potenza, Macerata, 62100, Italia</t>
  </si>
  <si>
    <t>VIA DEI VELINI - (con civici dispari da 271 a 293 - con civici pari da 218 a 226)</t>
  </si>
  <si>
    <t>VIA DEI VELINI 271, Macerata, MC, Italia</t>
  </si>
  <si>
    <t>VIA DEI VELINI 218, Macerata, MC, Italia</t>
  </si>
  <si>
    <t>VIA DEL VALLATO</t>
  </si>
  <si>
    <t>VIA DEL VALLATO, Macerata, MC, Italia</t>
  </si>
  <si>
    <t>Via del Vallato, Villa Potenza, Macerata, 62100, Italia</t>
  </si>
  <si>
    <t>VIA FEDERICO SECONDO</t>
  </si>
  <si>
    <t>VIA FEDERICO SECONDO, Macerata, MC, Italia</t>
  </si>
  <si>
    <t>VIA PERUGINI OTELLO</t>
  </si>
  <si>
    <t>VIA PERUGINI OTELLO, Macerata, MC, Italia</t>
  </si>
  <si>
    <t>VIA SALVADEI DON ENNIO</t>
  </si>
  <si>
    <t>VIA SALVADEI DON ENNIO, Macerata, MC, Italia</t>
  </si>
  <si>
    <t>Via Don Ennio Salvadei, Villa Potenza, Macerata, 62100, Italia</t>
  </si>
  <si>
    <t>VIA TROILI DOMENICO - (solo civici pari da 4 fino a 192)</t>
  </si>
  <si>
    <t>VIA TROILI DOMENICO</t>
  </si>
  <si>
    <t>VIA TROILI DOMENICO 4, Macerata, MC, Italia</t>
  </si>
  <si>
    <t>Via Domenico Troili, Villa Potenza, Macerata, 62100, Italia</t>
  </si>
  <si>
    <t>VIA VALENTI GHINO - (con civici dispari da 283 a 285 - con civici pari da 144 a 156)</t>
  </si>
  <si>
    <t>VIA VALENTI GHINO 283, Macerata, MC, Italia</t>
  </si>
  <si>
    <t>VIA VALENTI GHINO 144, Macerata, MC, Italia</t>
  </si>
  <si>
    <t>VICOLO CORTO</t>
  </si>
  <si>
    <t>VICOLO CORTO, Macerata, MC, Italia</t>
  </si>
  <si>
    <t>Vicolo Corto, Villa Potenza, Macerata, 62100, Italia</t>
  </si>
  <si>
    <t>VICOLO DEL MAGLIO</t>
  </si>
  <si>
    <t>VICOLO DEL MAGLIO, Macerata, MC, Italia</t>
  </si>
  <si>
    <t>Vicolo del Maglio, Villa Potenza, Macerata, 62100, Italia</t>
  </si>
  <si>
    <t>BORGO PERANZONI NICOLO' - (solo civici pari da 102 fino a 226/C)</t>
  </si>
  <si>
    <t>BORGO PERANZONI NICOLO' 102, Macerata, MC, Italia</t>
  </si>
  <si>
    <t>VIA COSTANTINI GIUSEPPE</t>
  </si>
  <si>
    <t>VIA COSTANTINI GIUSEPPE, Macerata, MC, Italia</t>
  </si>
  <si>
    <t>Via Giuseppe Costantini, Villa Potenza, Macerata, 62100, Italia</t>
  </si>
  <si>
    <t>VIA DEL FIUME</t>
  </si>
  <si>
    <t>VIA DEL FIUME, Macerata, MC, Italia</t>
  </si>
  <si>
    <t>Via del Fiume, Villa Potenza, Macerata, 62100, Italia</t>
  </si>
  <si>
    <t>VIA DELL'ACQUEDOTTO</t>
  </si>
  <si>
    <t>VIA DELL'ACQUEDOTTO, Macerata, MC, Italia</t>
  </si>
  <si>
    <t>Via dell'Acquedotto, Villa Potenza, Macerata, 62100, Italia</t>
  </si>
  <si>
    <t>VIA MACERATA - (solo civici dispari da 3 fino a 3/C.P 37)</t>
  </si>
  <si>
    <t>VIA MACERATA 3, Macerata, MC, Italia</t>
  </si>
  <si>
    <t>3, Via Macerata, Contrada Paganuccia, Montefano, Macerata, 62010, Italia</t>
  </si>
  <si>
    <t>VIA PALATUCCI GIOVANNI</t>
  </si>
  <si>
    <t>VIA PALATUCCI GIOVANNI, Macerata, MC, Italia</t>
  </si>
  <si>
    <t>Via Giovanni Palatucci, Villa Potenza, Macerata, 62100, Italia</t>
  </si>
  <si>
    <t>VIA TROILI DOMENICO - (solo civici dispari da 1 fino a 175)</t>
  </si>
  <si>
    <t>VIA TROILI DOMENICO 1, Macerata, MC, Italia</t>
  </si>
  <si>
    <t>BORGO PERANZONI NICOLO' - (con civici dispari da 39 a 187/A - con civici pari da 228 a 268)</t>
  </si>
  <si>
    <t>BORGO PERANZONI NICOLO' 39, Macerata, MC, Italia</t>
  </si>
  <si>
    <t>BORGO PERANZONI NICOLO' 228, Macerata, MC, Italia</t>
  </si>
  <si>
    <t>228, Borgo Nicolò Peranzoni, Villa Potenza, Macerata, 62100, Italia</t>
  </si>
  <si>
    <t>BORGO PERTINACE PUBLIO ELVIO</t>
  </si>
  <si>
    <t>BORGO PERTINACE PUBLIO ELVIO, Macerata, MC, Italia</t>
  </si>
  <si>
    <t>CONTRADA CIMARELLA</t>
  </si>
  <si>
    <t>CONTRADA CIMARELLA, Macerata, MC, Italia</t>
  </si>
  <si>
    <t>Contrada Cimarella, Località Palazzetto, Cimarella, Macerata, Italia</t>
  </si>
  <si>
    <t>CONTRADA HELVIA RECINA</t>
  </si>
  <si>
    <t>CONTRADA HELVIA RECINA, Macerata, MC, Italia</t>
  </si>
  <si>
    <t>Contrada Strada Regina, Contrada Marolino, Marolino, Potenza Picena, Macerata, Italia</t>
  </si>
  <si>
    <t>CONTRADA POTENZA - (con civici dispari da 3 a 33 - con civici pari da 4/A a 32)</t>
  </si>
  <si>
    <t>CONTRADA POTENZA 3, Macerata, MC, Italia</t>
  </si>
  <si>
    <t>CONTRADA POTENZA 4, Macerata, MC, Italia</t>
  </si>
  <si>
    <t>CONTRADA SANTA MARIA IN SELVA</t>
  </si>
  <si>
    <t>CONTRADA SANTA MARIA IN SELVA, Macerata, MC, Italia</t>
  </si>
  <si>
    <t>Contrada Santa Maria in Selva, Treia, Macerata, Italia</t>
  </si>
  <si>
    <t>VIA DE GASPERI ALCIDE</t>
  </si>
  <si>
    <t>VIA DE GASPERI ALCIDE, Macerata, MC, Italia</t>
  </si>
  <si>
    <t>Via Alcide De Gasperi, Villa Potenza, Macerata, 62100, Italia</t>
  </si>
  <si>
    <t>VIA DE NICOLA ENRICO</t>
  </si>
  <si>
    <t>VIA DE NICOLA ENRICO, Macerata, MC, Italia</t>
  </si>
  <si>
    <t>VIA EINAUDI LUIGI</t>
  </si>
  <si>
    <t>VIA EINAUDI LUIGI, Macerata, MC, Italia</t>
  </si>
  <si>
    <t>Via Luigi Einaudi, Villa Potenza, Macerata, 62100, Italia</t>
  </si>
  <si>
    <t>VIA SANTONI MILZIADE</t>
  </si>
  <si>
    <t>VIA SANTONI MILZIADE, Macerata, MC, Italia</t>
  </si>
  <si>
    <t>Via Milziade Santoni, Camerino, Macerata, Marche, 62032, Italia</t>
  </si>
  <si>
    <t>VIA TEATRO ROMANO</t>
  </si>
  <si>
    <t>VIA TEATRO ROMANO, Macerata, MC, Italia</t>
  </si>
  <si>
    <t>Via Teatro Romano, Villa Potenza, Macerata, 62100, Italia</t>
  </si>
  <si>
    <t>BORGO SFORZACOSTA - (con civici dispari da 1 a 301 - con civici pari da 92 a 198)</t>
  </si>
  <si>
    <t>BORGO SFORZACOSTA</t>
  </si>
  <si>
    <t>BORGO SFORZACOSTA 1, Macerata, MC, Italia</t>
  </si>
  <si>
    <t>3C Clementi Profumi, 1a, Borgo Sforzacosta, Sforzacosta, Macerata, Marche, 62100, Italia</t>
  </si>
  <si>
    <t>BORGO SFORZACOSTA 92, Macerata, MC, Italia</t>
  </si>
  <si>
    <t>Borgo Sforzacosta, Sforzacosta, Macerata, Marche, Italia</t>
  </si>
  <si>
    <t>CONTRADA BOSCHETTO</t>
  </si>
  <si>
    <t>CONTRADA BOSCHETTO, Macerata, MC, Italia</t>
  </si>
  <si>
    <t>Contrada Boschetto, Sforzacosta, Macerata, Marche, Italia</t>
  </si>
  <si>
    <t>CONTRADA PIEVE</t>
  </si>
  <si>
    <t>CONTRADA PIEVE, Macerata, MC, Italia</t>
  </si>
  <si>
    <t>Contrada Pieve, Corneto, Sforzacosta, Macerata, Marche, 62100, Italia</t>
  </si>
  <si>
    <t>PIAZZA CICCOLINI LUDOVICO</t>
  </si>
  <si>
    <t>PIAZZA CICCOLINI LUDOVICO, Macerata, MC, Italia</t>
  </si>
  <si>
    <t>Piazza Ludovico Ciccolini, Sforzacosta, Macerata, Marche, Italia</t>
  </si>
  <si>
    <t>PORTA PICENA</t>
  </si>
  <si>
    <t>PORTA PICENA, Macerata, MC, Italia</t>
  </si>
  <si>
    <t>Porta Mercato, Centro storico, Macerata, Marche, 62100, Italia</t>
  </si>
  <si>
    <t>STRADA PICENA</t>
  </si>
  <si>
    <t>STRADA PICENA, Macerata, MC, Italia</t>
  </si>
  <si>
    <t>Strada Statale 78 Picena, Sforzacosta, Macerata, Italia</t>
  </si>
  <si>
    <t>VIA FOGLIETTI RAFFAELE - (solo civico 7)</t>
  </si>
  <si>
    <t>VIA FOGLIETTI RAFFAELE</t>
  </si>
  <si>
    <t>VIA FOGLIETTI RAFFAELE 7, Macerata, MC, Italia</t>
  </si>
  <si>
    <t>VIA LIVIABELLA LINO - (con civici dispari da 3 a 51 - con civici pari da 8 a 10)</t>
  </si>
  <si>
    <t>VIA LIVIABELLA LINO</t>
  </si>
  <si>
    <t>VIA LIVIABELLA LINO 3, Macerata, MC, Italia</t>
  </si>
  <si>
    <t>Via Lino Liviabella, Sforzacosta, Macerata, Italia</t>
  </si>
  <si>
    <t>VIA LIVIABELLA LINO 8, Macerata, MC, Italia</t>
  </si>
  <si>
    <t>VIA MACERATA - (solo civico 13)</t>
  </si>
  <si>
    <t>VIA MACERATA 13, Macerata, MC, Italia</t>
  </si>
  <si>
    <t>VIA MAININI GIUSEPPE</t>
  </si>
  <si>
    <t>VIA MAININI GIUSEPPE, Macerata, MC, Italia</t>
  </si>
  <si>
    <t>Via Giuseppe Mainini, Sforzacosta, Macerata, Marche, Italia</t>
  </si>
  <si>
    <t>VIA PANNAGGI IVO</t>
  </si>
  <si>
    <t>VIA PANNAGGI IVO, Macerata, MC, Italia</t>
  </si>
  <si>
    <t>VIA PERANDA GIUSEPPE</t>
  </si>
  <si>
    <t>VIA PERANDA GIUSEPPE, Macerata, MC, Italia</t>
  </si>
  <si>
    <t>Via Giuseppe Peranda, Sforzacosta, Macerata, Marche, Italia</t>
  </si>
  <si>
    <t>VIA TANO BRUNO</t>
  </si>
  <si>
    <t>VIA TANO BRUNO, Macerata, MC, Italia</t>
  </si>
  <si>
    <t>Via Bruno Tano, Sforzacosta, Macerata, Marche, Italia</t>
  </si>
  <si>
    <t>BORGO SFORZACOSTA - (solo civici pari da 8 fino a 82)</t>
  </si>
  <si>
    <t>BORGO SFORZACOSTA 8, Macerata, MC, Italia</t>
  </si>
  <si>
    <t>CONTRADA ACQUEVIVE - (con civici dispari da 1 a 21 - con civici pari da 2 a 20)</t>
  </si>
  <si>
    <t>CONTRADA ACQUEVIVE</t>
  </si>
  <si>
    <t>CONTRADA ACQUEVIVE 1, Macerata, MC, Italia</t>
  </si>
  <si>
    <t>Contrada Acquevive, Peschiera, Macerata, 62100, Italia</t>
  </si>
  <si>
    <t>CONTRADA ACQUEVIVE 2, Macerata, MC, Italia</t>
  </si>
  <si>
    <t>CONTRADA CHIENTI</t>
  </si>
  <si>
    <t>CONTRADA CHIENTI, Macerata, MC, Italia</t>
  </si>
  <si>
    <t>Contrada Piane Chienti, Civitanova Marche, Macerata, 62012, Italia</t>
  </si>
  <si>
    <t>VIA FOGLIETTI RAFFAELE - (con civici dispari da 9 a 23 - con civici pari da 2 a 8/A)</t>
  </si>
  <si>
    <t>VIA FOGLIETTI RAFFAELE 9, Macerata, MC, Italia</t>
  </si>
  <si>
    <t>VIA FOGLIETTI RAFFAELE 2, Macerata, MC, Italia</t>
  </si>
  <si>
    <t>VIA GAGARIN JURIJ ALEKSEEVIC</t>
  </si>
  <si>
    <t>VIA GAGARIN JURIJ ALEKSEEVIC, Macerata, MC, Italia</t>
  </si>
  <si>
    <t>Via Jurij Alekseevic Gagarin, Area industriale Sforzacosta, Sforzacosta, Macerata, Marche, 62100, Italia</t>
  </si>
  <si>
    <t>VIA GANDHI MOHANDAS KARAMCHAND</t>
  </si>
  <si>
    <t>VIA GANDHI MOHANDAS KARAMCHAND, Macerata, MC, Italia</t>
  </si>
  <si>
    <t>Via Mohandas Karamchand Gandhi, Area industriale Sforzacosta, Sforzacosta, Macerata, Marche, 62100, Italia</t>
  </si>
  <si>
    <t>VIA GIOVANNI XXIII</t>
  </si>
  <si>
    <t>VIA GIOVANNI XXIII, Macerata, MC, Italia</t>
  </si>
  <si>
    <t>Via Giovanni XXIII, Porta Pesa, Recanati, Macerata, 62019, Italia</t>
  </si>
  <si>
    <t>VIA KENNEDY FRATELLI</t>
  </si>
  <si>
    <t>VIA KENNEDY FRATELLI, Macerata, MC, Italia</t>
  </si>
  <si>
    <t>Via Fratelli Kennedy, Area industriale Sforzacosta, Sforzacosta, Macerata, 62100, Italia</t>
  </si>
  <si>
    <t>VIA KING MARTIN LUTHER</t>
  </si>
  <si>
    <t>VIA KING MARTIN LUTHER, Macerata, MC, Italia</t>
  </si>
  <si>
    <t>VIA LIVIABELLA LINO - (solo civici pari da 14 fino a 60)</t>
  </si>
  <si>
    <t>VIA LIVIABELLA LINO 14, Macerata, MC, Italia</t>
  </si>
  <si>
    <t>VIA MACERATA - (solo civico 29)</t>
  </si>
  <si>
    <t>VIA MACERATA 29, Macerata, MC, Italia</t>
  </si>
  <si>
    <t>VIA NATALI GIULIO</t>
  </si>
  <si>
    <t>VIA NATALI GIULIO, Macerata, MC, Italia</t>
  </si>
  <si>
    <t>Via Giulio Natali, Sforzacosta, Macerata, Marche, Italia</t>
  </si>
  <si>
    <t>BORGO PIEDIRIPA - (solo civici dispari da 1 fino a 55)</t>
  </si>
  <si>
    <t>BORGO PIEDIRIPA</t>
  </si>
  <si>
    <t>BORGO PIEDIRIPA 1, Macerata, MC, Italia</t>
  </si>
  <si>
    <t>Borgo Piediripa, Contrada Valle Verde, Peschiera, Piediripa, Macerata, 62100, Italia</t>
  </si>
  <si>
    <t>CONTRADA ACQUEVIVE - (con civici dispari da 5 a 35 - con civici pari da 4 a 34)</t>
  </si>
  <si>
    <t>CONTRADA ACQUEVIVE 5, Macerata, MC, Italia</t>
  </si>
  <si>
    <t>CONTRADA ACQUEVIVE 4, Macerata, MC, Italia</t>
  </si>
  <si>
    <t>CONTRADA PESCHIERA</t>
  </si>
  <si>
    <t>CONTRADA PESCHIERA, Macerata, MC, Italia</t>
  </si>
  <si>
    <t>Contrada Peschiera, Contrada Valle Verde, Peschiera, Piediripa, Macerata, 62014, Italia</t>
  </si>
  <si>
    <t>CONTRADA VALLEBONA - (con civici dispari 67 - con civici pari 64,64,64,64,64/A,66,68)</t>
  </si>
  <si>
    <t>CONTRADA VALLEBONA 67, Macerata, MC, Italia</t>
  </si>
  <si>
    <t>CONTRADA VALLEBONA 64, Macerata, MC, Italia</t>
  </si>
  <si>
    <t>CONTRADA VALTEIA</t>
  </si>
  <si>
    <t>CONTRADA VALTEIA, Macerata, MC, Italia</t>
  </si>
  <si>
    <t>Contrada Valteia, Peschiera, Macerata, 62100, Italia</t>
  </si>
  <si>
    <t>STRADA CARRARECCIA - (con civici dispari da 37 a 51/B - con civici pari da 4 a 42)</t>
  </si>
  <si>
    <t>STRADA CARRARECCIA</t>
  </si>
  <si>
    <t>STRADA CARRARECCIA 37, Macerata, MC, Italia</t>
  </si>
  <si>
    <t>Strada Carrareccia, Macerata, 62100, Italia</t>
  </si>
  <si>
    <t>STRADA CARRARECCIA 4, Macerata, MC, Italia</t>
  </si>
  <si>
    <t>VIA ARNO</t>
  </si>
  <si>
    <t>VIA ARNO, Macerata, MC, Italia</t>
  </si>
  <si>
    <t>Via Arno, Peschiera, Piediripa, Macerata, 62100, Italia</t>
  </si>
  <si>
    <t>VIA ESINO</t>
  </si>
  <si>
    <t>VIA ESINO, Macerata, MC, Italia</t>
  </si>
  <si>
    <t>Via Esino, Peschiera, Piediripa, Macerata, 62100, Italia</t>
  </si>
  <si>
    <t>VIA METAURO</t>
  </si>
  <si>
    <t>VIA METAURO, Macerata, MC, Italia</t>
  </si>
  <si>
    <t>Via Metauro, Peschiera, Piediripa, Macerata, 62100, Italia</t>
  </si>
  <si>
    <t>VIA PO</t>
  </si>
  <si>
    <t>VIA PO, Macerata, MC, Italia</t>
  </si>
  <si>
    <t>Via Po, Peschiera, Piediripa, Macerata, Marche, 62100, Italia</t>
  </si>
  <si>
    <t>VIA VOLTURNO - (con civici dispari da 1 a 7 - con civici pari da 4 a 28)</t>
  </si>
  <si>
    <t>VIA VOLTURNO</t>
  </si>
  <si>
    <t>VIA VOLTURNO 1, Macerata, MC, Italia</t>
  </si>
  <si>
    <t>1, Via Volturno, San Giuseppe, Centro, Civitanova Marche, Macerata, Marche, 62012, Italia</t>
  </si>
  <si>
    <t>VIA VOLTURNO 4, Macerata, MC, Italia</t>
  </si>
  <si>
    <t>4, Via Volturno, San Giuseppe, Civitanova Marche, Macerata, Marche, 62012, Italia</t>
  </si>
  <si>
    <t>BORGO PIEDIRIPA - (con civici dispari da 59 a 87 - con civici pari da 2 a 62)</t>
  </si>
  <si>
    <t>BORGO PIEDIRIPA 59, Macerata, MC, Italia</t>
  </si>
  <si>
    <t>BORGO PIEDIRIPA 2, Macerata, MC, Italia</t>
  </si>
  <si>
    <t>CONTRADA SANTA MARIA DELLE VERGINI - (con civici dispari 29,29 - con civici pari 30,32)</t>
  </si>
  <si>
    <t>CONTRADA SANTA MARIA DELLE VERGINI 29, Macerata, MC, Italia</t>
  </si>
  <si>
    <t>CONTRADA SANTA MARIA DELLE VERGINI 30, Macerata, MC, Italia</t>
  </si>
  <si>
    <t>CONTRADA VALLEVERDE</t>
  </si>
  <si>
    <t>CONTRADA VALLEVERDE, Macerata, MC, Italia</t>
  </si>
  <si>
    <t>Contrada Valleverde, Contrada Valle Verde, Piediripa, Macerata, 62014, Italia</t>
  </si>
  <si>
    <t>PIAZZALE D'ACQUISTO SALVO</t>
  </si>
  <si>
    <t>PIAZZALE D'ACQUISTO SALVO, Macerata, MC, Italia</t>
  </si>
  <si>
    <t>PIAZZALE MERCURIO</t>
  </si>
  <si>
    <t>PIAZZALE MERCURIO, Macerata, MC, Italia</t>
  </si>
  <si>
    <t>Piazzale Mercurio, Contrada Valle Verde, Peschiera, Piediripa, Macerata, 62014, Italia</t>
  </si>
  <si>
    <t>STRADA CARRARECCIA - (solo civici dispari da 1 fino a 19)</t>
  </si>
  <si>
    <t>STRADA CARRARECCIA 1, Macerata, MC, Italia</t>
  </si>
  <si>
    <t>Pizzeria Paninoteca Birreria Enoteca Il Borgo Antico, 1, Strada Cluentina, Contrada Valle Verde, Peschiera, Piediripa, Macerata, 62100, Italia</t>
  </si>
  <si>
    <t>STRADA CLUENTINA</t>
  </si>
  <si>
    <t>STRADA CLUENTINA, Macerata, MC, Italia</t>
  </si>
  <si>
    <t>Strada Cluentina, Contrada Valle Verde, Piediripa, Macerata, 62014, Italia</t>
  </si>
  <si>
    <t>VIA ANNIBALI DOMENICO</t>
  </si>
  <si>
    <t>VIA ANNIBALI DOMENICO, Macerata, MC, Italia</t>
  </si>
  <si>
    <t>Via Domenico Annibali, Contrada Valle Verde, Piediripa, Macerata, Marche, 62014, Italia</t>
  </si>
  <si>
    <t>VIA BEI ADELE</t>
  </si>
  <si>
    <t>VIA BEI ADELE, Macerata, MC, Italia</t>
  </si>
  <si>
    <t>Via Adele Bei, Contrada Valle Verde, Piediripa, Macerata, 62014, Italia</t>
  </si>
  <si>
    <t>VIA BRAMANTE DONATO - (con civici dispari da 55 a 99 - con civici pari da 48 a 110)</t>
  </si>
  <si>
    <t>VIA BRAMANTE DONATO 55, Macerata, MC, Italia</t>
  </si>
  <si>
    <t>55, Via Donato Bramante, Peschiera, Piediripa, Macerata, Marche, 62100, Italia</t>
  </si>
  <si>
    <t>VIA BRAMANTE DONATO 48, Macerata, MC, Italia</t>
  </si>
  <si>
    <t>Via Donato Bramante, Peschiera, Piediripa, Macerata, Marche, 62014, Italia</t>
  </si>
  <si>
    <t>VIA BRENTA</t>
  </si>
  <si>
    <t>VIA BRENTA, Macerata, MC, Italia</t>
  </si>
  <si>
    <t>Via Brenta, Contrada Valle Verde, Peschiera, Piediripa, Macerata, 62014, Italia</t>
  </si>
  <si>
    <t>VIA CONCORDIA DOMENICO</t>
  </si>
  <si>
    <t>VIA CONCORDIA DOMENICO, Macerata, MC, Italia</t>
  </si>
  <si>
    <t>Via Domenico Concordia, Contrada Valle Verde, Piediripa, Macerata, 62014, Italia</t>
  </si>
  <si>
    <t>VIA DI VITTORIO GIUSEPPE</t>
  </si>
  <si>
    <t>VIA DI VITTORIO GIUSEPPE, Macerata, MC, Italia</t>
  </si>
  <si>
    <t>Via Giuseppe Di Vittorio, Contrada Valle Verde, Piediripa, Macerata, 62014, Italia</t>
  </si>
  <si>
    <t>VIA FIORETTI ELENA</t>
  </si>
  <si>
    <t>VIA FIORETTI ELENA, Macerata, MC, Italia</t>
  </si>
  <si>
    <t>Via Elena Fioretti, Piediripa, Macerata, 62014, Italia</t>
  </si>
  <si>
    <t>VIA MINCIO</t>
  </si>
  <si>
    <t>VIA MINCIO, Macerata, MC, Italia</t>
  </si>
  <si>
    <t>Via Mincio, Peschiera, Piediripa, Macerata, 62014, Italia</t>
  </si>
  <si>
    <t>VIA MORETTI PRIMO E GIOVANNI</t>
  </si>
  <si>
    <t>VIA MORETTI PRIMO E GIOVANNI, Macerata, MC, Italia</t>
  </si>
  <si>
    <t>VIA NOCE TERESA</t>
  </si>
  <si>
    <t>VIA NOCE TERESA, Macerata, MC, Italia</t>
  </si>
  <si>
    <t>Via Teresa Noce, Macerata, 62014, Italia</t>
  </si>
  <si>
    <t>VIA OTTO MARZO</t>
  </si>
  <si>
    <t>VIA OTTO MARZO, Macerata, MC, Italia</t>
  </si>
  <si>
    <t>Via Otto Marzo, Contrada Valle Verde, Piediripa, Macerata, Marche, 62014, Italia</t>
  </si>
  <si>
    <t>VIA PRIMO MAGGIO</t>
  </si>
  <si>
    <t>VIA PRIMO MAGGIO, Macerata, MC, Italia</t>
  </si>
  <si>
    <t>Via Primo Maggio, Tolentino, Macerata, 62029, Italia</t>
  </si>
  <si>
    <t>VIA SANTOLINI DIONILLA</t>
  </si>
  <si>
    <t>VIA SANTOLINI DIONILLA, Macerata, MC, Italia</t>
  </si>
  <si>
    <t>Via Dionilla Santolini, Contrada Valle Verde, Peschiera, Piediripa, Macerata, 62014, Italia</t>
  </si>
  <si>
    <t>VIA TAGLIAMENTO</t>
  </si>
  <si>
    <t>VIA TAGLIAMENTO, Macerata, MC, Italia</t>
  </si>
  <si>
    <t>Via Tagliamento, Contrada Valle Verde, Peschiera, Piediripa, Macerata, Marche, 62014, Italia</t>
  </si>
  <si>
    <t>VIA TARANTELLI EZIO</t>
  </si>
  <si>
    <t>VIA TARANTELLI EZIO, Macerata, MC, Italia</t>
  </si>
  <si>
    <t>Via Ezio Tarantelli, Contrada Valle Verde, Piediripa, Macerata, 62014, Italia</t>
  </si>
  <si>
    <t>VIA TEVERE</t>
  </si>
  <si>
    <t>VIA TEVERE, Macerata, MC, Italia</t>
  </si>
  <si>
    <t>Via Tevere, Contrada Valle Verde, Peschiera, Piediripa, Macerata, 62014, Italia</t>
  </si>
  <si>
    <t>VIA VELLUTI GIAMBATTISTA</t>
  </si>
  <si>
    <t>VIA VELLUTI GIAMBATTISTA, Macerata, MC, Italia</t>
  </si>
  <si>
    <t>Via Giambattista Velluti, Contrada Valle Verde, Piediripa, Macerata, 62014, Italia</t>
  </si>
  <si>
    <t>VIA VOLTURNO - (con civici dispari da 11 a 95 - con civici pari da 36 a 74)</t>
  </si>
  <si>
    <t>VIA VOLTURNO 11, Macerata, MC, Italia</t>
  </si>
  <si>
    <t>11, Via Volturno, San Giuseppe, Centro, Civitanova Marche, Macerata, Marche, 62012, Italia</t>
  </si>
  <si>
    <t>VIA VOLTURNO 36, Macerata, MC, Italia</t>
  </si>
  <si>
    <t>Via Volturno, Peschiera, Piediripa, Macerata, 62014, 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</si>
</sst>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0"/>
  <sheetViews>
    <sheetView tabSelected="1" topLeftCell="K149" workbookViewId="0">
      <selection activeCell="N2" sqref="N2:N620"/>
    </sheetView>
  </sheetViews>
  <sheetFormatPr defaultRowHeight="14.4" x14ac:dyDescent="0.3"/>
  <cols>
    <col min="1" max="1" width="4" bestFit="1" customWidth="1"/>
    <col min="2" max="2" width="7.21875" bestFit="1" customWidth="1"/>
    <col min="3" max="3" width="8.6640625" bestFit="1" customWidth="1"/>
    <col min="4" max="4" width="80.88671875" bestFit="1" customWidth="1"/>
    <col min="5" max="5" width="47.88671875" bestFit="1" customWidth="1"/>
    <col min="6" max="6" width="10.88671875" bestFit="1" customWidth="1"/>
    <col min="7" max="7" width="8.5546875" bestFit="1" customWidth="1"/>
    <col min="8" max="8" width="3.109375" bestFit="1" customWidth="1"/>
    <col min="9" max="9" width="3.6640625" bestFit="1" customWidth="1"/>
    <col min="10" max="10" width="65.77734375" bestFit="1" customWidth="1"/>
    <col min="11" max="12" width="11" bestFit="1" customWidth="1"/>
    <col min="13" max="13" width="150.109375" bestFit="1" customWidth="1"/>
    <col min="14" max="14" width="21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x14ac:dyDescent="0.3">
      <c r="A2">
        <v>1</v>
      </c>
      <c r="B2">
        <v>1</v>
      </c>
      <c r="D2" t="s">
        <v>13</v>
      </c>
      <c r="E2" t="s">
        <v>14</v>
      </c>
      <c r="F2">
        <v>10</v>
      </c>
      <c r="G2">
        <v>28</v>
      </c>
      <c r="J2" t="s">
        <v>15</v>
      </c>
      <c r="K2">
        <v>43.299658100000002</v>
      </c>
      <c r="L2">
        <v>13.452321100000001</v>
      </c>
      <c r="M2" t="s">
        <v>16</v>
      </c>
      <c r="N2" t="str">
        <f>TRIM(MID(M2,FIND(",",M2,FIND(",",M2)+1)+1,FIND(",",M2,FIND(",",M2,FIND(",",M2)+1)+1)-FIND(",",M2,FIND(",",M2)+1)-1))</f>
        <v>Macerata</v>
      </c>
    </row>
    <row r="3" spans="1:14" x14ac:dyDescent="0.3">
      <c r="A3">
        <v>2</v>
      </c>
      <c r="B3">
        <v>1</v>
      </c>
      <c r="D3" t="s">
        <v>17</v>
      </c>
      <c r="E3" t="s">
        <v>18</v>
      </c>
      <c r="F3">
        <v>17</v>
      </c>
      <c r="G3">
        <v>57</v>
      </c>
      <c r="J3" t="s">
        <v>19</v>
      </c>
      <c r="K3">
        <v>43.300529099999999</v>
      </c>
      <c r="L3">
        <v>13.4524059</v>
      </c>
      <c r="M3" t="s">
        <v>20</v>
      </c>
      <c r="N3" t="str">
        <f>TRIM(MID(M3,FIND(",",M3,FIND(",",M3)+1)+1,FIND(",",M3,FIND(",",M3,FIND(",",M3)+1)+1)-FIND(",",M3,FIND(",",M3)+1)-1))</f>
        <v>Centro storico</v>
      </c>
    </row>
    <row r="4" spans="1:14" x14ac:dyDescent="0.3">
      <c r="A4">
        <v>3</v>
      </c>
      <c r="B4">
        <v>1</v>
      </c>
      <c r="D4" t="s">
        <v>21</v>
      </c>
      <c r="E4" t="s">
        <v>21</v>
      </c>
      <c r="F4" t="s">
        <v>22</v>
      </c>
      <c r="G4" t="s">
        <v>22</v>
      </c>
      <c r="J4" t="s">
        <v>23</v>
      </c>
      <c r="K4">
        <v>43.300557300000001</v>
      </c>
      <c r="L4">
        <v>13.45482</v>
      </c>
      <c r="M4" t="s">
        <v>24</v>
      </c>
      <c r="N4" t="str">
        <f>TRIM(MID(M4,FIND(",",M4,FIND(",",M4)+1)+1,FIND(",",M4,FIND(",",M4,FIND(",",M4)+1)+1)-FIND(",",M4,FIND(",",M4)+1)-1))</f>
        <v>Macerata</v>
      </c>
    </row>
    <row r="5" spans="1:14" x14ac:dyDescent="0.3">
      <c r="A5">
        <v>4</v>
      </c>
      <c r="B5">
        <v>1</v>
      </c>
      <c r="D5" t="s">
        <v>25</v>
      </c>
      <c r="E5" t="s">
        <v>25</v>
      </c>
      <c r="F5" t="s">
        <v>22</v>
      </c>
      <c r="G5" t="s">
        <v>22</v>
      </c>
      <c r="J5" t="s">
        <v>26</v>
      </c>
      <c r="K5">
        <v>43.3005669</v>
      </c>
      <c r="L5">
        <v>13.452821500000001</v>
      </c>
      <c r="M5" t="s">
        <v>27</v>
      </c>
      <c r="N5" t="str">
        <f>TRIM(MID(M5,FIND(",",M5,FIND(",",M5)+1)+1,FIND(",",M5,FIND(",",M5,FIND(",",M5)+1)+1)-FIND(",",M5,FIND(",",M5)+1)-1))</f>
        <v>Macerata</v>
      </c>
    </row>
    <row r="6" spans="1:14" x14ac:dyDescent="0.3">
      <c r="A6">
        <v>5</v>
      </c>
      <c r="B6">
        <v>1</v>
      </c>
      <c r="D6" t="s">
        <v>28</v>
      </c>
      <c r="E6" t="s">
        <v>28</v>
      </c>
      <c r="F6" t="s">
        <v>22</v>
      </c>
      <c r="G6" t="s">
        <v>22</v>
      </c>
      <c r="J6" t="s">
        <v>29</v>
      </c>
      <c r="K6">
        <v>43.299094400000001</v>
      </c>
      <c r="L6">
        <v>13.4542605</v>
      </c>
      <c r="M6" t="s">
        <v>30</v>
      </c>
      <c r="N6" t="str">
        <f>TRIM(MID(M6,FIND(",",M6,FIND(",",M6)+1)+1,FIND(",",M6,FIND(",",M6,FIND(",",M6)+1)+1)-FIND(",",M6,FIND(",",M6)+1)-1))</f>
        <v>Piazza Giuseppe Mazzini</v>
      </c>
    </row>
    <row r="7" spans="1:14" x14ac:dyDescent="0.3">
      <c r="A7">
        <v>6</v>
      </c>
      <c r="B7">
        <v>1</v>
      </c>
      <c r="D7" t="s">
        <v>31</v>
      </c>
      <c r="E7" t="s">
        <v>31</v>
      </c>
      <c r="F7" t="s">
        <v>22</v>
      </c>
      <c r="G7" t="s">
        <v>22</v>
      </c>
      <c r="J7" t="s">
        <v>32</v>
      </c>
      <c r="K7">
        <v>43.300377699999999</v>
      </c>
      <c r="L7">
        <v>13.4528959</v>
      </c>
      <c r="M7" t="s">
        <v>33</v>
      </c>
      <c r="N7" t="str">
        <f>TRIM(MID(M7,FIND(",",M7,FIND(",",M7)+1)+1,FIND(",",M7,FIND(",",M7,FIND(",",M7)+1)+1)-FIND(",",M7,FIND(",",M7)+1)-1))</f>
        <v>Macerata</v>
      </c>
    </row>
    <row r="8" spans="1:14" x14ac:dyDescent="0.3">
      <c r="A8">
        <v>7</v>
      </c>
      <c r="B8">
        <v>1</v>
      </c>
      <c r="D8" t="s">
        <v>34</v>
      </c>
      <c r="E8" t="s">
        <v>34</v>
      </c>
      <c r="F8" t="s">
        <v>22</v>
      </c>
      <c r="G8" t="s">
        <v>22</v>
      </c>
      <c r="J8" t="s">
        <v>35</v>
      </c>
      <c r="K8">
        <v>43.300299899999999</v>
      </c>
      <c r="L8">
        <v>13.456214599999999</v>
      </c>
      <c r="M8" t="s">
        <v>36</v>
      </c>
      <c r="N8" t="str">
        <f>TRIM(MID(M8,FIND(",",M8,FIND(",",M8)+1)+1,FIND(",",M8,FIND(",",M8,FIND(",",M8)+1)+1)-FIND(",",M8,FIND(",",M8)+1)-1))</f>
        <v>Macerata</v>
      </c>
    </row>
    <row r="9" spans="1:14" x14ac:dyDescent="0.3">
      <c r="A9">
        <v>8</v>
      </c>
      <c r="B9">
        <v>1</v>
      </c>
      <c r="D9" t="s">
        <v>37</v>
      </c>
      <c r="E9" t="s">
        <v>37</v>
      </c>
      <c r="F9" t="s">
        <v>22</v>
      </c>
      <c r="G9" t="s">
        <v>22</v>
      </c>
      <c r="J9" t="s">
        <v>38</v>
      </c>
      <c r="K9">
        <v>43.298656399999999</v>
      </c>
      <c r="L9">
        <v>13.4514589</v>
      </c>
      <c r="M9" t="s">
        <v>39</v>
      </c>
      <c r="N9" t="str">
        <f>TRIM(MID(M9,FIND(",",M9,FIND(",",M9)+1)+1,FIND(",",M9,FIND(",",M9,FIND(",",M9)+1)+1)-FIND(",",M9,FIND(",",M9)+1)-1))</f>
        <v>Macerata</v>
      </c>
    </row>
    <row r="10" spans="1:14" x14ac:dyDescent="0.3">
      <c r="A10">
        <v>9</v>
      </c>
      <c r="B10">
        <v>1</v>
      </c>
      <c r="D10" t="s">
        <v>40</v>
      </c>
      <c r="E10" t="s">
        <v>40</v>
      </c>
      <c r="F10" t="s">
        <v>22</v>
      </c>
      <c r="G10" t="s">
        <v>22</v>
      </c>
      <c r="J10" t="s">
        <v>41</v>
      </c>
      <c r="K10">
        <v>43.299780400000003</v>
      </c>
      <c r="L10">
        <v>13.4535547</v>
      </c>
      <c r="M10" t="s">
        <v>42</v>
      </c>
      <c r="N10" t="str">
        <f>TRIM(MID(M10,FIND(",",M10,FIND(",",M10)+1)+1,FIND(",",M10,FIND(",",M10,FIND(",",M10)+1)+1)-FIND(",",M10,FIND(",",M10)+1)-1))</f>
        <v>Macerata</v>
      </c>
    </row>
    <row r="11" spans="1:14" x14ac:dyDescent="0.3">
      <c r="A11">
        <v>10</v>
      </c>
      <c r="B11">
        <v>1</v>
      </c>
      <c r="D11" t="s">
        <v>43</v>
      </c>
      <c r="E11" t="s">
        <v>43</v>
      </c>
      <c r="F11" t="s">
        <v>22</v>
      </c>
      <c r="G11" t="s">
        <v>22</v>
      </c>
      <c r="J11" t="s">
        <v>44</v>
      </c>
      <c r="K11">
        <v>43.300085799999998</v>
      </c>
      <c r="L11">
        <v>13.4540024</v>
      </c>
      <c r="M11" t="s">
        <v>45</v>
      </c>
      <c r="N11" t="str">
        <f>TRIM(MID(M11,FIND(",",M11,FIND(",",M11)+1)+1,FIND(",",M11,FIND(",",M11,FIND(",",M11)+1)+1)-FIND(",",M11,FIND(",",M11)+1)-1))</f>
        <v>Macerata</v>
      </c>
    </row>
    <row r="12" spans="1:14" x14ac:dyDescent="0.3">
      <c r="A12">
        <v>11</v>
      </c>
      <c r="B12">
        <v>1</v>
      </c>
      <c r="D12" t="s">
        <v>46</v>
      </c>
      <c r="E12" t="s">
        <v>47</v>
      </c>
      <c r="F12" t="s">
        <v>22</v>
      </c>
      <c r="G12" t="s">
        <v>22</v>
      </c>
      <c r="J12" t="s">
        <v>48</v>
      </c>
      <c r="K12">
        <v>43.3003231</v>
      </c>
      <c r="L12">
        <v>13.4522659</v>
      </c>
      <c r="M12" t="s">
        <v>49</v>
      </c>
      <c r="N12" t="str">
        <f>TRIM(MID(M12,FIND(",",M12,FIND(",",M12)+1)+1,FIND(",",M12,FIND(",",M12,FIND(",",M12)+1)+1)-FIND(",",M12,FIND(",",M12)+1)-1))</f>
        <v>Macerata</v>
      </c>
    </row>
    <row r="13" spans="1:14" x14ac:dyDescent="0.3">
      <c r="A13">
        <v>12</v>
      </c>
      <c r="B13">
        <v>1</v>
      </c>
      <c r="D13" t="s">
        <v>50</v>
      </c>
      <c r="E13" t="s">
        <v>50</v>
      </c>
      <c r="F13" t="s">
        <v>22</v>
      </c>
      <c r="G13" t="s">
        <v>22</v>
      </c>
      <c r="J13" t="s">
        <v>51</v>
      </c>
      <c r="K13">
        <v>43.300268500000001</v>
      </c>
      <c r="L13">
        <v>13.4535561</v>
      </c>
      <c r="M13" t="s">
        <v>52</v>
      </c>
      <c r="N13" t="str">
        <f>TRIM(MID(M13,FIND(",",M13,FIND(",",M13)+1)+1,FIND(",",M13,FIND(",",M13,FIND(",",M13)+1)+1)-FIND(",",M13,FIND(",",M13)+1)-1))</f>
        <v>Macerata</v>
      </c>
    </row>
    <row r="14" spans="1:14" x14ac:dyDescent="0.3">
      <c r="A14">
        <v>13</v>
      </c>
      <c r="B14">
        <v>1</v>
      </c>
      <c r="D14" t="s">
        <v>53</v>
      </c>
      <c r="E14" t="s">
        <v>53</v>
      </c>
      <c r="F14" t="s">
        <v>22</v>
      </c>
      <c r="G14" t="s">
        <v>22</v>
      </c>
      <c r="J14" t="s">
        <v>54</v>
      </c>
      <c r="K14">
        <v>43.299110400000004</v>
      </c>
      <c r="L14">
        <v>13.4549702</v>
      </c>
      <c r="M14" t="s">
        <v>55</v>
      </c>
      <c r="N14" t="str">
        <f>TRIM(MID(M14,FIND(",",M14,FIND(",",M14)+1)+1,FIND(",",M14,FIND(",",M14,FIND(",",M14)+1)+1)-FIND(",",M14,FIND(",",M14)+1)-1))</f>
        <v>Macerata</v>
      </c>
    </row>
    <row r="15" spans="1:14" x14ac:dyDescent="0.3">
      <c r="A15">
        <v>14</v>
      </c>
      <c r="B15">
        <v>1</v>
      </c>
      <c r="D15" t="s">
        <v>56</v>
      </c>
      <c r="E15" t="s">
        <v>56</v>
      </c>
      <c r="F15" t="s">
        <v>22</v>
      </c>
      <c r="G15" t="s">
        <v>22</v>
      </c>
      <c r="J15" t="s">
        <v>57</v>
      </c>
      <c r="K15">
        <v>43.299451599999998</v>
      </c>
      <c r="L15">
        <v>13.455012099999999</v>
      </c>
      <c r="M15" t="s">
        <v>58</v>
      </c>
      <c r="N15" t="str">
        <f>TRIM(MID(M15,FIND(",",M15,FIND(",",M15)+1)+1,FIND(",",M15,FIND(",",M15,FIND(",",M15)+1)+1)-FIND(",",M15,FIND(",",M15)+1)-1))</f>
        <v>Macerata</v>
      </c>
    </row>
    <row r="16" spans="1:14" x14ac:dyDescent="0.3">
      <c r="A16">
        <v>15</v>
      </c>
      <c r="B16">
        <v>1</v>
      </c>
      <c r="D16" t="s">
        <v>59</v>
      </c>
      <c r="E16" t="s">
        <v>59</v>
      </c>
      <c r="F16" t="s">
        <v>22</v>
      </c>
      <c r="G16" t="s">
        <v>22</v>
      </c>
      <c r="J16" t="s">
        <v>60</v>
      </c>
      <c r="K16">
        <v>43.209319100000002</v>
      </c>
      <c r="L16">
        <v>13.2871006</v>
      </c>
      <c r="M16" t="s">
        <v>61</v>
      </c>
      <c r="N16" t="str">
        <f>TRIM(MID(M16,FIND(",",M16,FIND(",",M16)+1)+1,FIND(",",M16,FIND(",",M16,FIND(",",M16)+1)+1)-FIND(",",M16,FIND(",",M16)+1)-1))</f>
        <v>Macerata</v>
      </c>
    </row>
    <row r="17" spans="1:14" x14ac:dyDescent="0.3">
      <c r="A17">
        <v>16</v>
      </c>
      <c r="B17">
        <v>1</v>
      </c>
      <c r="D17" t="s">
        <v>62</v>
      </c>
      <c r="E17" t="s">
        <v>62</v>
      </c>
      <c r="F17" t="s">
        <v>22</v>
      </c>
      <c r="G17" t="s">
        <v>22</v>
      </c>
      <c r="J17" t="s">
        <v>63</v>
      </c>
      <c r="N17" t="e">
        <f>TRIM(MID(M17,FIND(",",M17,FIND(",",M17)+1)+1,FIND(",",M17,FIND(",",M17,FIND(",",M17)+1)+1)-FIND(",",M17,FIND(",",M17)+1)-1))</f>
        <v>#VALUE!</v>
      </c>
    </row>
    <row r="18" spans="1:14" x14ac:dyDescent="0.3">
      <c r="A18">
        <v>17</v>
      </c>
      <c r="B18">
        <v>1</v>
      </c>
      <c r="D18" t="s">
        <v>64</v>
      </c>
      <c r="E18" t="s">
        <v>64</v>
      </c>
      <c r="F18" t="s">
        <v>22</v>
      </c>
      <c r="G18" t="s">
        <v>22</v>
      </c>
      <c r="J18" t="s">
        <v>65</v>
      </c>
      <c r="K18">
        <v>43.301293899999997</v>
      </c>
      <c r="L18">
        <v>13.4550603</v>
      </c>
      <c r="M18" t="s">
        <v>66</v>
      </c>
      <c r="N18" t="str">
        <f>TRIM(MID(M18,FIND(",",M18,FIND(",",M18)+1)+1,FIND(",",M18,FIND(",",M18,FIND(",",M18)+1)+1)-FIND(",",M18,FIND(",",M18)+1)-1))</f>
        <v>Macerata</v>
      </c>
    </row>
    <row r="19" spans="1:14" x14ac:dyDescent="0.3">
      <c r="A19">
        <v>18</v>
      </c>
      <c r="B19">
        <v>1</v>
      </c>
      <c r="D19" t="s">
        <v>67</v>
      </c>
      <c r="E19" t="s">
        <v>67</v>
      </c>
      <c r="F19" t="s">
        <v>22</v>
      </c>
      <c r="G19" t="s">
        <v>22</v>
      </c>
      <c r="J19" t="s">
        <v>68</v>
      </c>
      <c r="K19">
        <v>43.299165100000003</v>
      </c>
      <c r="L19">
        <v>13.452729100000001</v>
      </c>
      <c r="M19" t="s">
        <v>69</v>
      </c>
      <c r="N19" t="str">
        <f>TRIM(MID(M19,FIND(",",M19,FIND(",",M19)+1)+1,FIND(",",M19,FIND(",",M19,FIND(",",M19)+1)+1)-FIND(",",M19,FIND(",",M19)+1)-1))</f>
        <v>Macerata</v>
      </c>
    </row>
    <row r="20" spans="1:14" x14ac:dyDescent="0.3">
      <c r="A20">
        <v>19</v>
      </c>
      <c r="B20">
        <v>1</v>
      </c>
      <c r="D20" t="s">
        <v>70</v>
      </c>
      <c r="E20" t="s">
        <v>70</v>
      </c>
      <c r="F20" t="s">
        <v>22</v>
      </c>
      <c r="G20" t="s">
        <v>22</v>
      </c>
      <c r="J20" t="s">
        <v>71</v>
      </c>
      <c r="K20">
        <v>43.301065000000001</v>
      </c>
      <c r="L20">
        <v>13.451354</v>
      </c>
      <c r="M20" t="s">
        <v>72</v>
      </c>
      <c r="N20" t="str">
        <f>TRIM(MID(M20,FIND(",",M20,FIND(",",M20)+1)+1,FIND(",",M20,FIND(",",M20,FIND(",",M20)+1)+1)-FIND(",",M20,FIND(",",M20)+1)-1))</f>
        <v>Macerata</v>
      </c>
    </row>
    <row r="21" spans="1:14" x14ac:dyDescent="0.3">
      <c r="A21">
        <v>20</v>
      </c>
      <c r="B21">
        <v>1</v>
      </c>
      <c r="D21" t="s">
        <v>73</v>
      </c>
      <c r="E21" t="s">
        <v>73</v>
      </c>
      <c r="F21" t="s">
        <v>22</v>
      </c>
      <c r="G21" t="s">
        <v>22</v>
      </c>
      <c r="J21" t="s">
        <v>74</v>
      </c>
      <c r="K21">
        <v>43.301164499999999</v>
      </c>
      <c r="L21">
        <v>13.4540785</v>
      </c>
      <c r="M21" t="s">
        <v>75</v>
      </c>
      <c r="N21" t="str">
        <f>TRIM(MID(M21,FIND(",",M21,FIND(",",M21)+1)+1,FIND(",",M21,FIND(",",M21,FIND(",",M21)+1)+1)-FIND(",",M21,FIND(",",M21)+1)-1))</f>
        <v>Macerata</v>
      </c>
    </row>
    <row r="22" spans="1:14" x14ac:dyDescent="0.3">
      <c r="A22">
        <v>21</v>
      </c>
      <c r="B22">
        <v>1</v>
      </c>
      <c r="D22" t="s">
        <v>76</v>
      </c>
      <c r="E22" t="s">
        <v>76</v>
      </c>
      <c r="F22" t="s">
        <v>22</v>
      </c>
      <c r="G22" t="s">
        <v>22</v>
      </c>
      <c r="J22" t="s">
        <v>77</v>
      </c>
      <c r="K22">
        <v>43.300444499999998</v>
      </c>
      <c r="L22">
        <v>13.4556936</v>
      </c>
      <c r="M22" t="s">
        <v>78</v>
      </c>
      <c r="N22" t="str">
        <f>TRIM(MID(M22,FIND(",",M22,FIND(",",M22)+1)+1,FIND(",",M22,FIND(",",M22,FIND(",",M22)+1)+1)-FIND(",",M22,FIND(",",M22)+1)-1))</f>
        <v>Macerata</v>
      </c>
    </row>
    <row r="23" spans="1:14" x14ac:dyDescent="0.3">
      <c r="A23">
        <v>22</v>
      </c>
      <c r="B23">
        <v>1</v>
      </c>
      <c r="D23" t="s">
        <v>79</v>
      </c>
      <c r="E23" t="s">
        <v>79</v>
      </c>
      <c r="F23" t="s">
        <v>22</v>
      </c>
      <c r="G23" t="s">
        <v>22</v>
      </c>
      <c r="J23" t="s">
        <v>80</v>
      </c>
      <c r="K23">
        <v>43.301136200000002</v>
      </c>
      <c r="L23">
        <v>13.451223199999999</v>
      </c>
      <c r="M23" t="s">
        <v>81</v>
      </c>
      <c r="N23" t="str">
        <f>TRIM(MID(M23,FIND(",",M23,FIND(",",M23)+1)+1,FIND(",",M23,FIND(",",M23,FIND(",",M23)+1)+1)-FIND(",",M23,FIND(",",M23)+1)-1))</f>
        <v>Macerata</v>
      </c>
    </row>
    <row r="24" spans="1:14" x14ac:dyDescent="0.3">
      <c r="A24">
        <v>23</v>
      </c>
      <c r="B24">
        <v>1</v>
      </c>
      <c r="D24" t="s">
        <v>82</v>
      </c>
      <c r="E24" t="s">
        <v>82</v>
      </c>
      <c r="F24" t="s">
        <v>22</v>
      </c>
      <c r="G24" t="s">
        <v>22</v>
      </c>
      <c r="J24" t="s">
        <v>83</v>
      </c>
      <c r="K24">
        <v>43.300901699999997</v>
      </c>
      <c r="L24">
        <v>13.4550897</v>
      </c>
      <c r="M24" t="s">
        <v>84</v>
      </c>
      <c r="N24" t="str">
        <f>TRIM(MID(M24,FIND(",",M24,FIND(",",M24)+1)+1,FIND(",",M24,FIND(",",M24,FIND(",",M24)+1)+1)-FIND(",",M24,FIND(",",M24)+1)-1))</f>
        <v>Macerata</v>
      </c>
    </row>
    <row r="25" spans="1:14" x14ac:dyDescent="0.3">
      <c r="A25">
        <v>24</v>
      </c>
      <c r="B25">
        <v>1</v>
      </c>
      <c r="D25" t="s">
        <v>85</v>
      </c>
      <c r="E25" t="s">
        <v>85</v>
      </c>
      <c r="F25" t="s">
        <v>22</v>
      </c>
      <c r="G25" t="s">
        <v>22</v>
      </c>
      <c r="J25" t="s">
        <v>86</v>
      </c>
      <c r="K25">
        <v>43.299261600000001</v>
      </c>
      <c r="L25">
        <v>13.4555943</v>
      </c>
      <c r="M25" t="s">
        <v>87</v>
      </c>
      <c r="N25" t="str">
        <f>TRIM(MID(M25,FIND(",",M25,FIND(",",M25)+1)+1,FIND(",",M25,FIND(",",M25,FIND(",",M25)+1)+1)-FIND(",",M25,FIND(",",M25)+1)-1))</f>
        <v>Macerata</v>
      </c>
    </row>
    <row r="26" spans="1:14" x14ac:dyDescent="0.3">
      <c r="A26">
        <v>25</v>
      </c>
      <c r="B26">
        <v>1</v>
      </c>
      <c r="D26" t="s">
        <v>88</v>
      </c>
      <c r="E26" t="s">
        <v>89</v>
      </c>
      <c r="F26">
        <v>6</v>
      </c>
      <c r="G26">
        <v>76</v>
      </c>
      <c r="J26" t="s">
        <v>90</v>
      </c>
      <c r="K26">
        <v>43.2985063</v>
      </c>
      <c r="L26">
        <v>13.4516543</v>
      </c>
      <c r="M26" t="s">
        <v>91</v>
      </c>
      <c r="N26" t="str">
        <f>TRIM(MID(M26,FIND(",",M26,FIND(",",M26)+1)+1,FIND(",",M26,FIND(",",M26,FIND(",",M26)+1)+1)-FIND(",",M26,FIND(",",M26)+1)-1))</f>
        <v>Macerata</v>
      </c>
    </row>
    <row r="27" spans="1:14" x14ac:dyDescent="0.3">
      <c r="A27">
        <v>26</v>
      </c>
      <c r="B27">
        <v>1</v>
      </c>
      <c r="D27" t="s">
        <v>88</v>
      </c>
      <c r="E27" t="s">
        <v>89</v>
      </c>
      <c r="F27">
        <v>9</v>
      </c>
      <c r="G27">
        <v>89</v>
      </c>
      <c r="J27" t="s">
        <v>92</v>
      </c>
      <c r="K27">
        <v>43.2985063</v>
      </c>
      <c r="L27">
        <v>13.4516543</v>
      </c>
      <c r="M27" t="s">
        <v>91</v>
      </c>
      <c r="N27" t="str">
        <f>TRIM(MID(M27,FIND(",",M27,FIND(",",M27)+1)+1,FIND(",",M27,FIND(",",M27,FIND(",",M27)+1)+1)-FIND(",",M27,FIND(",",M27)+1)-1))</f>
        <v>Macerata</v>
      </c>
    </row>
    <row r="28" spans="1:14" x14ac:dyDescent="0.3">
      <c r="A28">
        <v>27</v>
      </c>
      <c r="B28">
        <v>1</v>
      </c>
      <c r="D28" t="s">
        <v>93</v>
      </c>
      <c r="E28" t="s">
        <v>93</v>
      </c>
      <c r="F28" t="s">
        <v>22</v>
      </c>
      <c r="G28" t="s">
        <v>22</v>
      </c>
      <c r="J28" t="s">
        <v>94</v>
      </c>
      <c r="K28">
        <v>43.297947800000003</v>
      </c>
      <c r="L28">
        <v>13.449773199999999</v>
      </c>
      <c r="M28" t="s">
        <v>95</v>
      </c>
      <c r="N28" t="str">
        <f>TRIM(MID(M28,FIND(",",M28,FIND(",",M28)+1)+1,FIND(",",M28,FIND(",",M28,FIND(",",M28)+1)+1)-FIND(",",M28,FIND(",",M28)+1)-1))</f>
        <v>Macerata</v>
      </c>
    </row>
    <row r="29" spans="1:14" x14ac:dyDescent="0.3">
      <c r="A29">
        <v>28</v>
      </c>
      <c r="B29">
        <v>1</v>
      </c>
      <c r="D29" t="s">
        <v>96</v>
      </c>
      <c r="E29" t="s">
        <v>96</v>
      </c>
      <c r="F29" t="s">
        <v>22</v>
      </c>
      <c r="G29" t="s">
        <v>22</v>
      </c>
      <c r="J29" t="s">
        <v>97</v>
      </c>
      <c r="K29">
        <v>43.299917100000002</v>
      </c>
      <c r="L29">
        <v>13.456585499999999</v>
      </c>
      <c r="M29" t="s">
        <v>98</v>
      </c>
      <c r="N29" t="str">
        <f>TRIM(MID(M29,FIND(",",M29,FIND(",",M29)+1)+1,FIND(",",M29,FIND(",",M29,FIND(",",M29)+1)+1)-FIND(",",M29,FIND(",",M29)+1)-1))</f>
        <v>Macerata</v>
      </c>
    </row>
    <row r="30" spans="1:14" x14ac:dyDescent="0.3">
      <c r="A30">
        <v>29</v>
      </c>
      <c r="B30">
        <v>1</v>
      </c>
      <c r="D30" t="s">
        <v>99</v>
      </c>
      <c r="E30" t="s">
        <v>99</v>
      </c>
      <c r="F30" t="s">
        <v>22</v>
      </c>
      <c r="G30" t="s">
        <v>22</v>
      </c>
      <c r="J30" t="s">
        <v>100</v>
      </c>
      <c r="K30">
        <v>43.300424499999998</v>
      </c>
      <c r="L30">
        <v>13.456592000000001</v>
      </c>
      <c r="M30" t="s">
        <v>101</v>
      </c>
      <c r="N30" t="str">
        <f>TRIM(MID(M30,FIND(",",M30,FIND(",",M30)+1)+1,FIND(",",M30,FIND(",",M30,FIND(",",M30)+1)+1)-FIND(",",M30,FIND(",",M30)+1)-1))</f>
        <v>Macerata</v>
      </c>
    </row>
    <row r="31" spans="1:14" x14ac:dyDescent="0.3">
      <c r="A31">
        <v>30</v>
      </c>
      <c r="B31">
        <v>1</v>
      </c>
      <c r="D31" t="s">
        <v>102</v>
      </c>
      <c r="E31" t="s">
        <v>103</v>
      </c>
      <c r="F31">
        <v>3</v>
      </c>
      <c r="G31">
        <v>15</v>
      </c>
      <c r="J31" t="s">
        <v>104</v>
      </c>
      <c r="K31">
        <v>43.300484599999997</v>
      </c>
      <c r="L31">
        <v>13.450269799999999</v>
      </c>
      <c r="M31" t="s">
        <v>105</v>
      </c>
      <c r="N31" t="str">
        <f>TRIM(MID(M31,FIND(",",M31,FIND(",",M31)+1)+1,FIND(",",M31,FIND(",",M31,FIND(",",M31)+1)+1)-FIND(",",M31,FIND(",",M31)+1)-1))</f>
        <v>Macerata</v>
      </c>
    </row>
    <row r="32" spans="1:14" x14ac:dyDescent="0.3">
      <c r="A32">
        <v>31</v>
      </c>
      <c r="B32">
        <v>1</v>
      </c>
      <c r="D32" t="s">
        <v>106</v>
      </c>
      <c r="E32" t="s">
        <v>107</v>
      </c>
      <c r="F32">
        <v>1</v>
      </c>
      <c r="G32">
        <v>1</v>
      </c>
      <c r="J32" t="s">
        <v>108</v>
      </c>
      <c r="K32">
        <v>43.433537999999999</v>
      </c>
      <c r="L32">
        <v>13.660466400000001</v>
      </c>
      <c r="M32" t="s">
        <v>109</v>
      </c>
      <c r="N32" t="str">
        <f>TRIM(MID(M32,FIND(",",M32,FIND(",",M32)+1)+1,FIND(",",M32,FIND(",",M32,FIND(",",M32)+1)+1)-FIND(",",M32,FIND(",",M32)+1)-1))</f>
        <v>Porto Recanati</v>
      </c>
    </row>
    <row r="33" spans="1:14" x14ac:dyDescent="0.3">
      <c r="A33">
        <v>32</v>
      </c>
      <c r="B33">
        <v>1</v>
      </c>
      <c r="D33" t="s">
        <v>106</v>
      </c>
      <c r="E33" t="s">
        <v>107</v>
      </c>
      <c r="F33">
        <v>2</v>
      </c>
      <c r="G33">
        <v>10</v>
      </c>
      <c r="J33" t="s">
        <v>110</v>
      </c>
      <c r="K33">
        <v>43.433397800000002</v>
      </c>
      <c r="L33">
        <v>13.660485100000001</v>
      </c>
      <c r="M33" t="s">
        <v>111</v>
      </c>
      <c r="N33" t="str">
        <f>TRIM(MID(M33,FIND(",",M33,FIND(",",M33)+1)+1,FIND(",",M33,FIND(",",M33,FIND(",",M33)+1)+1)-FIND(",",M33,FIND(",",M33)+1)-1))</f>
        <v>Porto Recanati</v>
      </c>
    </row>
    <row r="34" spans="1:14" x14ac:dyDescent="0.3">
      <c r="A34">
        <v>33</v>
      </c>
      <c r="B34">
        <v>1</v>
      </c>
      <c r="D34" t="s">
        <v>112</v>
      </c>
      <c r="E34" t="s">
        <v>112</v>
      </c>
      <c r="F34" t="s">
        <v>22</v>
      </c>
      <c r="G34" t="s">
        <v>22</v>
      </c>
      <c r="J34" t="s">
        <v>113</v>
      </c>
      <c r="N34" t="e">
        <f>TRIM(MID(M34,FIND(",",M34,FIND(",",M34)+1)+1,FIND(",",M34,FIND(",",M34,FIND(",",M34)+1)+1)-FIND(",",M34,FIND(",",M34)+1)-1))</f>
        <v>#VALUE!</v>
      </c>
    </row>
    <row r="35" spans="1:14" x14ac:dyDescent="0.3">
      <c r="A35">
        <v>34</v>
      </c>
      <c r="B35">
        <v>1</v>
      </c>
      <c r="D35" t="s">
        <v>114</v>
      </c>
      <c r="E35" t="s">
        <v>114</v>
      </c>
      <c r="F35" t="s">
        <v>22</v>
      </c>
      <c r="G35" t="s">
        <v>22</v>
      </c>
      <c r="J35" t="s">
        <v>115</v>
      </c>
      <c r="K35">
        <v>43.3008612</v>
      </c>
      <c r="L35">
        <v>13.4544613</v>
      </c>
      <c r="M35" t="s">
        <v>116</v>
      </c>
      <c r="N35" t="str">
        <f>TRIM(MID(M35,FIND(",",M35,FIND(",",M35)+1)+1,FIND(",",M35,FIND(",",M35,FIND(",",M35)+1)+1)-FIND(",",M35,FIND(",",M35)+1)-1))</f>
        <v>Macerata</v>
      </c>
    </row>
    <row r="36" spans="1:14" x14ac:dyDescent="0.3">
      <c r="A36">
        <v>35</v>
      </c>
      <c r="B36">
        <v>1</v>
      </c>
      <c r="D36" t="s">
        <v>117</v>
      </c>
      <c r="E36" t="s">
        <v>117</v>
      </c>
      <c r="F36" t="s">
        <v>22</v>
      </c>
      <c r="G36" t="s">
        <v>22</v>
      </c>
      <c r="J36" t="s">
        <v>118</v>
      </c>
      <c r="K36">
        <v>43.299293400000003</v>
      </c>
      <c r="L36">
        <v>13.4537248</v>
      </c>
      <c r="M36" t="s">
        <v>119</v>
      </c>
      <c r="N36" t="str">
        <f>TRIM(MID(M36,FIND(",",M36,FIND(",",M36)+1)+1,FIND(",",M36,FIND(",",M36,FIND(",",M36)+1)+1)-FIND(",",M36,FIND(",",M36)+1)-1))</f>
        <v>Macerata</v>
      </c>
    </row>
    <row r="37" spans="1:14" x14ac:dyDescent="0.3">
      <c r="A37">
        <v>36</v>
      </c>
      <c r="B37">
        <v>1</v>
      </c>
      <c r="D37" t="s">
        <v>120</v>
      </c>
      <c r="E37" t="s">
        <v>120</v>
      </c>
      <c r="F37" t="s">
        <v>22</v>
      </c>
      <c r="G37" t="s">
        <v>22</v>
      </c>
      <c r="J37" t="s">
        <v>121</v>
      </c>
      <c r="K37">
        <v>43.299406400000002</v>
      </c>
      <c r="L37">
        <v>13.4546715</v>
      </c>
      <c r="M37" t="s">
        <v>122</v>
      </c>
      <c r="N37" t="str">
        <f>TRIM(MID(M37,FIND(",",M37,FIND(",",M37)+1)+1,FIND(",",M37,FIND(",",M37,FIND(",",M37)+1)+1)-FIND(",",M37,FIND(",",M37)+1)-1))</f>
        <v>Macerata</v>
      </c>
    </row>
    <row r="38" spans="1:14" x14ac:dyDescent="0.3">
      <c r="A38">
        <v>37</v>
      </c>
      <c r="B38">
        <v>1</v>
      </c>
      <c r="D38" t="s">
        <v>123</v>
      </c>
      <c r="E38" t="s">
        <v>123</v>
      </c>
      <c r="F38" t="s">
        <v>22</v>
      </c>
      <c r="G38" t="s">
        <v>22</v>
      </c>
      <c r="J38" t="s">
        <v>124</v>
      </c>
      <c r="K38">
        <v>43.299500000000002</v>
      </c>
      <c r="L38">
        <v>13.453621099999999</v>
      </c>
      <c r="M38" t="s">
        <v>125</v>
      </c>
      <c r="N38" t="str">
        <f>TRIM(MID(M38,FIND(",",M38,FIND(",",M38)+1)+1,FIND(",",M38,FIND(",",M38,FIND(",",M38)+1)+1)-FIND(",",M38,FIND(",",M38)+1)-1))</f>
        <v>Macerata</v>
      </c>
    </row>
    <row r="39" spans="1:14" x14ac:dyDescent="0.3">
      <c r="A39">
        <v>38</v>
      </c>
      <c r="B39">
        <v>1</v>
      </c>
      <c r="D39" t="s">
        <v>126</v>
      </c>
      <c r="E39" t="s">
        <v>126</v>
      </c>
      <c r="F39" t="s">
        <v>22</v>
      </c>
      <c r="G39" t="s">
        <v>22</v>
      </c>
      <c r="J39" t="s">
        <v>127</v>
      </c>
      <c r="N39" t="e">
        <f>TRIM(MID(M39,FIND(",",M39,FIND(",",M39)+1)+1,FIND(",",M39,FIND(",",M39,FIND(",",M39)+1)+1)-FIND(",",M39,FIND(",",M39)+1)-1))</f>
        <v>#VALUE!</v>
      </c>
    </row>
    <row r="40" spans="1:14" x14ac:dyDescent="0.3">
      <c r="A40">
        <v>39</v>
      </c>
      <c r="B40">
        <v>1</v>
      </c>
      <c r="D40" t="s">
        <v>128</v>
      </c>
      <c r="E40" t="s">
        <v>128</v>
      </c>
      <c r="F40" t="s">
        <v>22</v>
      </c>
      <c r="G40" t="s">
        <v>22</v>
      </c>
      <c r="J40" t="s">
        <v>129</v>
      </c>
      <c r="K40">
        <v>43.303063999999999</v>
      </c>
      <c r="L40">
        <v>13.439236299999999</v>
      </c>
      <c r="M40" t="s">
        <v>130</v>
      </c>
      <c r="N40" t="str">
        <f>TRIM(MID(M40,FIND(",",M40,FIND(",",M40)+1)+1,FIND(",",M40,FIND(",",M40,FIND(",",M40)+1)+1)-FIND(",",M40,FIND(",",M40)+1)-1))</f>
        <v>Santa Croce</v>
      </c>
    </row>
    <row r="41" spans="1:14" x14ac:dyDescent="0.3">
      <c r="A41">
        <v>40</v>
      </c>
      <c r="B41">
        <v>1</v>
      </c>
      <c r="D41" t="s">
        <v>131</v>
      </c>
      <c r="E41" t="s">
        <v>131</v>
      </c>
      <c r="F41" t="s">
        <v>22</v>
      </c>
      <c r="G41" t="s">
        <v>22</v>
      </c>
      <c r="J41" t="s">
        <v>132</v>
      </c>
      <c r="K41">
        <v>43.316153999999997</v>
      </c>
      <c r="L41">
        <v>13.4351903</v>
      </c>
      <c r="M41" t="s">
        <v>133</v>
      </c>
      <c r="N41" t="str">
        <f>TRIM(MID(M41,FIND(",",M41,FIND(",",M41)+1)+1,FIND(",",M41,FIND(",",M41,FIND(",",M41)+1)+1)-FIND(",",M41,FIND(",",M41)+1)-1))</f>
        <v>Villa Potenza</v>
      </c>
    </row>
    <row r="42" spans="1:14" x14ac:dyDescent="0.3">
      <c r="A42">
        <v>41</v>
      </c>
      <c r="B42">
        <v>1</v>
      </c>
      <c r="D42" t="s">
        <v>134</v>
      </c>
      <c r="E42" t="s">
        <v>134</v>
      </c>
      <c r="F42" t="s">
        <v>22</v>
      </c>
      <c r="G42" t="s">
        <v>22</v>
      </c>
      <c r="J42" t="s">
        <v>135</v>
      </c>
      <c r="K42">
        <v>43.300817000000002</v>
      </c>
      <c r="L42">
        <v>13.4507089</v>
      </c>
      <c r="M42" t="s">
        <v>136</v>
      </c>
      <c r="N42" t="str">
        <f>TRIM(MID(M42,FIND(",",M42,FIND(",",M42)+1)+1,FIND(",",M42,FIND(",",M42,FIND(",",M42)+1)+1)-FIND(",",M42,FIND(",",M42)+1)-1))</f>
        <v>Macerata</v>
      </c>
    </row>
    <row r="43" spans="1:14" x14ac:dyDescent="0.3">
      <c r="A43">
        <v>42</v>
      </c>
      <c r="B43">
        <v>1</v>
      </c>
      <c r="D43" t="s">
        <v>137</v>
      </c>
      <c r="E43" t="s">
        <v>137</v>
      </c>
      <c r="F43" t="s">
        <v>22</v>
      </c>
      <c r="G43" t="s">
        <v>22</v>
      </c>
      <c r="J43" t="s">
        <v>138</v>
      </c>
      <c r="K43">
        <v>43.299011999999998</v>
      </c>
      <c r="L43">
        <v>13.453774299999999</v>
      </c>
      <c r="M43" t="s">
        <v>139</v>
      </c>
      <c r="N43" t="str">
        <f>TRIM(MID(M43,FIND(",",M43,FIND(",",M43)+1)+1,FIND(",",M43,FIND(",",M43,FIND(",",M43)+1)+1)-FIND(",",M43,FIND(",",M43)+1)-1))</f>
        <v>Macerata</v>
      </c>
    </row>
    <row r="44" spans="1:14" x14ac:dyDescent="0.3">
      <c r="A44">
        <v>43</v>
      </c>
      <c r="B44">
        <v>1</v>
      </c>
      <c r="D44" t="s">
        <v>140</v>
      </c>
      <c r="E44" t="s">
        <v>140</v>
      </c>
      <c r="F44" t="s">
        <v>22</v>
      </c>
      <c r="G44" t="s">
        <v>22</v>
      </c>
      <c r="J44" t="s">
        <v>141</v>
      </c>
      <c r="K44">
        <v>43.300274600000002</v>
      </c>
      <c r="L44">
        <v>13.454976800000001</v>
      </c>
      <c r="M44" t="s">
        <v>142</v>
      </c>
      <c r="N44" t="str">
        <f>TRIM(MID(M44,FIND(",",M44,FIND(",",M44)+1)+1,FIND(",",M44,FIND(",",M44,FIND(",",M44)+1)+1)-FIND(",",M44,FIND(",",M44)+1)-1))</f>
        <v>Macerata</v>
      </c>
    </row>
    <row r="45" spans="1:14" x14ac:dyDescent="0.3">
      <c r="A45">
        <v>44</v>
      </c>
      <c r="B45">
        <v>1</v>
      </c>
      <c r="D45" t="s">
        <v>143</v>
      </c>
      <c r="E45" t="s">
        <v>143</v>
      </c>
      <c r="F45" t="s">
        <v>22</v>
      </c>
      <c r="G45" t="s">
        <v>22</v>
      </c>
      <c r="J45" t="s">
        <v>144</v>
      </c>
      <c r="K45">
        <v>43.2985945</v>
      </c>
      <c r="L45">
        <v>13.453156</v>
      </c>
      <c r="M45" t="s">
        <v>145</v>
      </c>
      <c r="N45" t="str">
        <f>TRIM(MID(M45,FIND(",",M45,FIND(",",M45)+1)+1,FIND(",",M45,FIND(",",M45,FIND(",",M45)+1)+1)-FIND(",",M45,FIND(",",M45)+1)-1))</f>
        <v>Macerata</v>
      </c>
    </row>
    <row r="46" spans="1:14" x14ac:dyDescent="0.3">
      <c r="A46">
        <v>45</v>
      </c>
      <c r="B46">
        <v>1</v>
      </c>
      <c r="D46" t="s">
        <v>146</v>
      </c>
      <c r="E46" t="s">
        <v>146</v>
      </c>
      <c r="F46" t="s">
        <v>22</v>
      </c>
      <c r="G46" t="s">
        <v>22</v>
      </c>
      <c r="J46" t="s">
        <v>147</v>
      </c>
      <c r="K46">
        <v>43.299670399999997</v>
      </c>
      <c r="L46">
        <v>13.452537</v>
      </c>
      <c r="M46" t="s">
        <v>148</v>
      </c>
      <c r="N46" t="str">
        <f>TRIM(MID(M46,FIND(",",M46,FIND(",",M46)+1)+1,FIND(",",M46,FIND(",",M46,FIND(",",M46)+1)+1)-FIND(",",M46,FIND(",",M46)+1)-1))</f>
        <v>Macerata</v>
      </c>
    </row>
    <row r="47" spans="1:14" x14ac:dyDescent="0.3">
      <c r="A47">
        <v>46</v>
      </c>
      <c r="B47">
        <v>1</v>
      </c>
      <c r="D47" t="s">
        <v>149</v>
      </c>
      <c r="E47" t="s">
        <v>149</v>
      </c>
      <c r="F47" t="s">
        <v>22</v>
      </c>
      <c r="G47" t="s">
        <v>22</v>
      </c>
      <c r="J47" t="s">
        <v>150</v>
      </c>
      <c r="K47">
        <v>43.299762999999999</v>
      </c>
      <c r="L47">
        <v>13.4531242</v>
      </c>
      <c r="M47" t="s">
        <v>151</v>
      </c>
      <c r="N47" t="str">
        <f>TRIM(MID(M47,FIND(",",M47,FIND(",",M47)+1)+1,FIND(",",M47,FIND(",",M47,FIND(",",M47)+1)+1)-FIND(",",M47,FIND(",",M47)+1)-1))</f>
        <v>Macerata</v>
      </c>
    </row>
    <row r="48" spans="1:14" x14ac:dyDescent="0.3">
      <c r="A48">
        <v>47</v>
      </c>
      <c r="B48">
        <v>1</v>
      </c>
      <c r="D48" t="s">
        <v>152</v>
      </c>
      <c r="E48" t="s">
        <v>152</v>
      </c>
      <c r="F48" t="s">
        <v>22</v>
      </c>
      <c r="G48" t="s">
        <v>22</v>
      </c>
      <c r="J48" t="s">
        <v>153</v>
      </c>
      <c r="K48">
        <v>43.300100800000003</v>
      </c>
      <c r="L48">
        <v>13.4548472</v>
      </c>
      <c r="M48" t="s">
        <v>154</v>
      </c>
      <c r="N48" t="str">
        <f>TRIM(MID(M48,FIND(",",M48,FIND(",",M48)+1)+1,FIND(",",M48,FIND(",",M48,FIND(",",M48)+1)+1)-FIND(",",M48,FIND(",",M48)+1)-1))</f>
        <v>Macerata</v>
      </c>
    </row>
    <row r="49" spans="1:14" x14ac:dyDescent="0.3">
      <c r="A49">
        <v>48</v>
      </c>
      <c r="B49">
        <v>1</v>
      </c>
      <c r="D49" t="s">
        <v>155</v>
      </c>
      <c r="E49" t="s">
        <v>155</v>
      </c>
      <c r="F49" t="s">
        <v>22</v>
      </c>
      <c r="G49" t="s">
        <v>22</v>
      </c>
      <c r="J49" t="s">
        <v>156</v>
      </c>
      <c r="N49" t="e">
        <f>TRIM(MID(M49,FIND(",",M49,FIND(",",M49)+1)+1,FIND(",",M49,FIND(",",M49,FIND(",",M49)+1)+1)-FIND(",",M49,FIND(",",M49)+1)-1))</f>
        <v>#VALUE!</v>
      </c>
    </row>
    <row r="50" spans="1:14" x14ac:dyDescent="0.3">
      <c r="A50">
        <v>49</v>
      </c>
      <c r="B50">
        <v>1</v>
      </c>
      <c r="D50" t="s">
        <v>157</v>
      </c>
      <c r="E50" t="s">
        <v>157</v>
      </c>
      <c r="F50" t="s">
        <v>22</v>
      </c>
      <c r="G50" t="s">
        <v>22</v>
      </c>
      <c r="J50" t="s">
        <v>158</v>
      </c>
      <c r="K50">
        <v>43.300789999999999</v>
      </c>
      <c r="L50">
        <v>13.452658</v>
      </c>
      <c r="M50" t="s">
        <v>159</v>
      </c>
      <c r="N50" t="str">
        <f>TRIM(MID(M50,FIND(",",M50,FIND(",",M50)+1)+1,FIND(",",M50,FIND(",",M50,FIND(",",M50)+1)+1)-FIND(",",M50,FIND(",",M50)+1)-1))</f>
        <v>Macerata</v>
      </c>
    </row>
    <row r="51" spans="1:14" x14ac:dyDescent="0.3">
      <c r="A51">
        <v>50</v>
      </c>
      <c r="B51">
        <v>1</v>
      </c>
      <c r="D51" t="s">
        <v>160</v>
      </c>
      <c r="E51" t="s">
        <v>160</v>
      </c>
      <c r="F51" t="s">
        <v>22</v>
      </c>
      <c r="G51" t="s">
        <v>22</v>
      </c>
      <c r="J51" t="s">
        <v>161</v>
      </c>
      <c r="K51">
        <v>43.300800199999998</v>
      </c>
      <c r="L51">
        <v>13.451837899999999</v>
      </c>
      <c r="M51" t="s">
        <v>162</v>
      </c>
      <c r="N51" t="str">
        <f>TRIM(MID(M51,FIND(",",M51,FIND(",",M51)+1)+1,FIND(",",M51,FIND(",",M51,FIND(",",M51)+1)+1)-FIND(",",M51,FIND(",",M51)+1)-1))</f>
        <v>Macerata</v>
      </c>
    </row>
    <row r="52" spans="1:14" x14ac:dyDescent="0.3">
      <c r="A52">
        <v>51</v>
      </c>
      <c r="B52">
        <v>1</v>
      </c>
      <c r="D52" t="s">
        <v>163</v>
      </c>
      <c r="E52" t="s">
        <v>163</v>
      </c>
      <c r="F52" t="s">
        <v>22</v>
      </c>
      <c r="G52" t="s">
        <v>22</v>
      </c>
      <c r="J52" t="s">
        <v>164</v>
      </c>
      <c r="K52">
        <v>43.300186099999998</v>
      </c>
      <c r="L52">
        <v>13.4551093</v>
      </c>
      <c r="M52" t="s">
        <v>165</v>
      </c>
      <c r="N52" t="str">
        <f>TRIM(MID(M52,FIND(",",M52,FIND(",",M52)+1)+1,FIND(",",M52,FIND(",",M52,FIND(",",M52)+1)+1)-FIND(",",M52,FIND(",",M52)+1)-1))</f>
        <v>Macerata</v>
      </c>
    </row>
    <row r="53" spans="1:14" x14ac:dyDescent="0.3">
      <c r="A53">
        <v>52</v>
      </c>
      <c r="B53">
        <v>1</v>
      </c>
      <c r="D53" t="s">
        <v>166</v>
      </c>
      <c r="E53" t="s">
        <v>166</v>
      </c>
      <c r="F53" t="s">
        <v>22</v>
      </c>
      <c r="G53" t="s">
        <v>22</v>
      </c>
      <c r="J53" t="s">
        <v>167</v>
      </c>
      <c r="K53">
        <v>43.3006867</v>
      </c>
      <c r="L53">
        <v>13.4512088</v>
      </c>
      <c r="M53" t="s">
        <v>168</v>
      </c>
      <c r="N53" t="str">
        <f>TRIM(MID(M53,FIND(",",M53,FIND(",",M53)+1)+1,FIND(",",M53,FIND(",",M53,FIND(",",M53)+1)+1)-FIND(",",M53,FIND(",",M53)+1)-1))</f>
        <v>Macerata</v>
      </c>
    </row>
    <row r="54" spans="1:14" x14ac:dyDescent="0.3">
      <c r="A54">
        <v>53</v>
      </c>
      <c r="B54">
        <v>1</v>
      </c>
      <c r="D54" t="s">
        <v>169</v>
      </c>
      <c r="E54" t="s">
        <v>169</v>
      </c>
      <c r="F54" t="s">
        <v>22</v>
      </c>
      <c r="G54" t="s">
        <v>22</v>
      </c>
      <c r="J54" t="s">
        <v>170</v>
      </c>
      <c r="K54">
        <v>43.301071299999997</v>
      </c>
      <c r="L54">
        <v>13.454814799999999</v>
      </c>
      <c r="M54" t="s">
        <v>171</v>
      </c>
      <c r="N54" t="str">
        <f>TRIM(MID(M54,FIND(",",M54,FIND(",",M54)+1)+1,FIND(",",M54,FIND(",",M54,FIND(",",M54)+1)+1)-FIND(",",M54,FIND(",",M54)+1)-1))</f>
        <v>Macerata</v>
      </c>
    </row>
    <row r="55" spans="1:14" x14ac:dyDescent="0.3">
      <c r="A55">
        <v>54</v>
      </c>
      <c r="B55">
        <v>1</v>
      </c>
      <c r="D55" t="s">
        <v>172</v>
      </c>
      <c r="E55" t="s">
        <v>172</v>
      </c>
      <c r="F55" t="s">
        <v>22</v>
      </c>
      <c r="G55" t="s">
        <v>22</v>
      </c>
      <c r="J55" t="s">
        <v>173</v>
      </c>
      <c r="K55">
        <v>43.299072799999998</v>
      </c>
      <c r="L55">
        <v>13.452536500000001</v>
      </c>
      <c r="M55" t="s">
        <v>174</v>
      </c>
      <c r="N55" t="str">
        <f>TRIM(MID(M55,FIND(",",M55,FIND(",",M55)+1)+1,FIND(",",M55,FIND(",",M55,FIND(",",M55)+1)+1)-FIND(",",M55,FIND(",",M55)+1)-1))</f>
        <v>Macerata</v>
      </c>
    </row>
    <row r="56" spans="1:14" x14ac:dyDescent="0.3">
      <c r="A56">
        <v>55</v>
      </c>
      <c r="B56">
        <v>1</v>
      </c>
      <c r="D56" t="s">
        <v>175</v>
      </c>
      <c r="E56" t="s">
        <v>175</v>
      </c>
      <c r="F56" t="s">
        <v>22</v>
      </c>
      <c r="G56" t="s">
        <v>22</v>
      </c>
      <c r="J56" t="s">
        <v>176</v>
      </c>
      <c r="K56">
        <v>43.299242</v>
      </c>
      <c r="L56">
        <v>13.454488</v>
      </c>
      <c r="M56" t="s">
        <v>177</v>
      </c>
      <c r="N56" t="str">
        <f>TRIM(MID(M56,FIND(",",M56,FIND(",",M56)+1)+1,FIND(",",M56,FIND(",",M56,FIND(",",M56)+1)+1)-FIND(",",M56,FIND(",",M56)+1)-1))</f>
        <v>Macerata</v>
      </c>
    </row>
    <row r="57" spans="1:14" x14ac:dyDescent="0.3">
      <c r="A57">
        <v>56</v>
      </c>
      <c r="B57">
        <v>1</v>
      </c>
      <c r="D57" t="s">
        <v>178</v>
      </c>
      <c r="E57" t="s">
        <v>179</v>
      </c>
      <c r="F57" t="s">
        <v>22</v>
      </c>
      <c r="G57" t="s">
        <v>22</v>
      </c>
      <c r="J57" t="s">
        <v>180</v>
      </c>
      <c r="K57">
        <v>43.300212899999998</v>
      </c>
      <c r="L57">
        <v>13.4571521</v>
      </c>
      <c r="M57" t="s">
        <v>181</v>
      </c>
      <c r="N57" t="str">
        <f>TRIM(MID(M57,FIND(",",M57,FIND(",",M57)+1)+1,FIND(",",M57,FIND(",",M57,FIND(",",M57)+1)+1)-FIND(",",M57,FIND(",",M57)+1)-1))</f>
        <v>Macerata</v>
      </c>
    </row>
    <row r="58" spans="1:14" x14ac:dyDescent="0.3">
      <c r="A58">
        <v>57</v>
      </c>
      <c r="B58">
        <v>1</v>
      </c>
      <c r="D58" t="s">
        <v>182</v>
      </c>
      <c r="E58" t="s">
        <v>182</v>
      </c>
      <c r="F58" t="s">
        <v>22</v>
      </c>
      <c r="G58" t="s">
        <v>22</v>
      </c>
      <c r="J58" t="s">
        <v>183</v>
      </c>
      <c r="K58">
        <v>43.300534800000001</v>
      </c>
      <c r="L58">
        <v>13.456493399999999</v>
      </c>
      <c r="M58" t="s">
        <v>184</v>
      </c>
      <c r="N58" t="str">
        <f>TRIM(MID(M58,FIND(",",M58,FIND(",",M58)+1)+1,FIND(",",M58,FIND(",",M58,FIND(",",M58)+1)+1)-FIND(",",M58,FIND(",",M58)+1)-1))</f>
        <v>Macerata</v>
      </c>
    </row>
    <row r="59" spans="1:14" x14ac:dyDescent="0.3">
      <c r="A59">
        <v>58</v>
      </c>
      <c r="B59">
        <v>1</v>
      </c>
      <c r="D59" t="s">
        <v>185</v>
      </c>
      <c r="E59" t="s">
        <v>185</v>
      </c>
      <c r="F59" t="s">
        <v>22</v>
      </c>
      <c r="G59" t="s">
        <v>22</v>
      </c>
      <c r="J59" t="s">
        <v>186</v>
      </c>
      <c r="N59" t="e">
        <f>TRIM(MID(M59,FIND(",",M59,FIND(",",M59)+1)+1,FIND(",",M59,FIND(",",M59,FIND(",",M59)+1)+1)-FIND(",",M59,FIND(",",M59)+1)-1))</f>
        <v>#VALUE!</v>
      </c>
    </row>
    <row r="60" spans="1:14" x14ac:dyDescent="0.3">
      <c r="A60">
        <v>59</v>
      </c>
      <c r="B60">
        <v>2</v>
      </c>
      <c r="D60" t="s">
        <v>187</v>
      </c>
      <c r="E60" t="s">
        <v>14</v>
      </c>
      <c r="F60">
        <v>49</v>
      </c>
      <c r="G60">
        <v>49</v>
      </c>
      <c r="J60" t="s">
        <v>188</v>
      </c>
      <c r="K60">
        <v>43.299658100000002</v>
      </c>
      <c r="L60">
        <v>13.452321100000001</v>
      </c>
      <c r="M60" t="s">
        <v>16</v>
      </c>
      <c r="N60" t="str">
        <f>TRIM(MID(M60,FIND(",",M60,FIND(",",M60)+1)+1,FIND(",",M60,FIND(",",M60,FIND(",",M60)+1)+1)-FIND(",",M60,FIND(",",M60)+1)-1))</f>
        <v>Macerata</v>
      </c>
    </row>
    <row r="61" spans="1:14" x14ac:dyDescent="0.3">
      <c r="A61">
        <v>60</v>
      </c>
      <c r="B61">
        <v>2</v>
      </c>
      <c r="D61" t="s">
        <v>189</v>
      </c>
      <c r="E61" t="s">
        <v>18</v>
      </c>
      <c r="F61">
        <v>46</v>
      </c>
      <c r="G61">
        <v>62</v>
      </c>
      <c r="J61" t="s">
        <v>190</v>
      </c>
      <c r="K61">
        <v>43.300482500000001</v>
      </c>
      <c r="L61">
        <v>13.4511983</v>
      </c>
      <c r="M61" t="s">
        <v>191</v>
      </c>
      <c r="N61" t="str">
        <f>TRIM(MID(M61,FIND(",",M61,FIND(",",M61)+1)+1,FIND(",",M61,FIND(",",M61,FIND(",",M61)+1)+1)-FIND(",",M61,FIND(",",M61)+1)-1))</f>
        <v>Centro storico</v>
      </c>
    </row>
    <row r="62" spans="1:14" x14ac:dyDescent="0.3">
      <c r="A62">
        <v>61</v>
      </c>
      <c r="B62">
        <v>2</v>
      </c>
      <c r="D62" t="s">
        <v>192</v>
      </c>
      <c r="E62" t="s">
        <v>192</v>
      </c>
      <c r="F62" t="s">
        <v>22</v>
      </c>
      <c r="G62" t="s">
        <v>22</v>
      </c>
      <c r="J62" t="s">
        <v>193</v>
      </c>
      <c r="K62">
        <v>43.300297200000003</v>
      </c>
      <c r="L62">
        <v>13.451803699999999</v>
      </c>
      <c r="M62" t="s">
        <v>194</v>
      </c>
      <c r="N62" t="str">
        <f>TRIM(MID(M62,FIND(",",M62,FIND(",",M62)+1)+1,FIND(",",M62,FIND(",",M62,FIND(",",M62)+1)+1)-FIND(",",M62,FIND(",",M62)+1)-1))</f>
        <v>Macerata</v>
      </c>
    </row>
    <row r="63" spans="1:14" x14ac:dyDescent="0.3">
      <c r="A63">
        <v>62</v>
      </c>
      <c r="B63">
        <v>2</v>
      </c>
      <c r="D63" t="s">
        <v>195</v>
      </c>
      <c r="E63" t="s">
        <v>195</v>
      </c>
      <c r="F63" t="s">
        <v>22</v>
      </c>
      <c r="G63" t="s">
        <v>22</v>
      </c>
      <c r="J63" t="s">
        <v>196</v>
      </c>
      <c r="K63">
        <v>43.2987526</v>
      </c>
      <c r="L63">
        <v>13.4495015</v>
      </c>
      <c r="M63" t="s">
        <v>197</v>
      </c>
      <c r="N63" t="str">
        <f>TRIM(MID(M63,FIND(",",M63,FIND(",",M63)+1)+1,FIND(",",M63,FIND(",",M63,FIND(",",M63)+1)+1)-FIND(",",M63,FIND(",",M63)+1)-1))</f>
        <v>Macerata</v>
      </c>
    </row>
    <row r="64" spans="1:14" x14ac:dyDescent="0.3">
      <c r="A64">
        <v>63</v>
      </c>
      <c r="B64">
        <v>2</v>
      </c>
      <c r="D64" t="s">
        <v>198</v>
      </c>
      <c r="E64" t="s">
        <v>198</v>
      </c>
      <c r="F64" t="s">
        <v>22</v>
      </c>
      <c r="G64" t="s">
        <v>22</v>
      </c>
      <c r="J64" t="s">
        <v>199</v>
      </c>
      <c r="K64">
        <v>43.299253</v>
      </c>
      <c r="L64">
        <v>13.4495016</v>
      </c>
      <c r="M64" t="s">
        <v>200</v>
      </c>
      <c r="N64" t="str">
        <f>TRIM(MID(M64,FIND(",",M64,FIND(",",M64)+1)+1,FIND(",",M64,FIND(",",M64,FIND(",",M64)+1)+1)-FIND(",",M64,FIND(",",M64)+1)-1))</f>
        <v>Macerata</v>
      </c>
    </row>
    <row r="65" spans="1:14" x14ac:dyDescent="0.3">
      <c r="A65">
        <v>64</v>
      </c>
      <c r="B65">
        <v>2</v>
      </c>
      <c r="D65" t="s">
        <v>201</v>
      </c>
      <c r="E65" t="s">
        <v>201</v>
      </c>
      <c r="F65" t="s">
        <v>22</v>
      </c>
      <c r="G65" t="s">
        <v>22</v>
      </c>
      <c r="J65" t="s">
        <v>202</v>
      </c>
      <c r="K65">
        <v>43.300234699999997</v>
      </c>
      <c r="L65">
        <v>13.44828</v>
      </c>
      <c r="M65" t="s">
        <v>203</v>
      </c>
      <c r="N65" t="str">
        <f>TRIM(MID(M65,FIND(",",M65,FIND(",",M65)+1)+1,FIND(",",M65,FIND(",",M65,FIND(",",M65)+1)+1)-FIND(",",M65,FIND(",",M65)+1)-1))</f>
        <v>Macerata</v>
      </c>
    </row>
    <row r="66" spans="1:14" x14ac:dyDescent="0.3">
      <c r="A66">
        <v>65</v>
      </c>
      <c r="B66">
        <v>2</v>
      </c>
      <c r="D66" t="s">
        <v>204</v>
      </c>
      <c r="E66" t="s">
        <v>204</v>
      </c>
      <c r="F66" t="s">
        <v>22</v>
      </c>
      <c r="G66" t="s">
        <v>22</v>
      </c>
      <c r="J66" t="s">
        <v>205</v>
      </c>
      <c r="N66" t="e">
        <f>TRIM(MID(M66,FIND(",",M66,FIND(",",M66)+1)+1,FIND(",",M66,FIND(",",M66,FIND(",",M66)+1)+1)-FIND(",",M66,FIND(",",M66)+1)-1))</f>
        <v>#VALUE!</v>
      </c>
    </row>
    <row r="67" spans="1:14" x14ac:dyDescent="0.3">
      <c r="A67">
        <v>66</v>
      </c>
      <c r="B67">
        <v>2</v>
      </c>
      <c r="D67" t="s">
        <v>206</v>
      </c>
      <c r="E67" t="s">
        <v>206</v>
      </c>
      <c r="F67" t="s">
        <v>22</v>
      </c>
      <c r="G67" t="s">
        <v>22</v>
      </c>
      <c r="J67" t="s">
        <v>207</v>
      </c>
      <c r="K67">
        <v>43.301145499999997</v>
      </c>
      <c r="L67">
        <v>13.446903000000001</v>
      </c>
      <c r="M67" t="s">
        <v>208</v>
      </c>
      <c r="N67" t="str">
        <f>TRIM(MID(M67,FIND(",",M67,FIND(",",M67)+1)+1,FIND(",",M67,FIND(",",M67,FIND(",",M67)+1)+1)-FIND(",",M67,FIND(",",M67)+1)-1))</f>
        <v>Fonte Scodella</v>
      </c>
    </row>
    <row r="68" spans="1:14" x14ac:dyDescent="0.3">
      <c r="A68">
        <v>67</v>
      </c>
      <c r="B68">
        <v>2</v>
      </c>
      <c r="D68" t="s">
        <v>209</v>
      </c>
      <c r="E68" t="s">
        <v>47</v>
      </c>
      <c r="F68">
        <v>1</v>
      </c>
      <c r="G68">
        <v>11</v>
      </c>
      <c r="J68" t="s">
        <v>210</v>
      </c>
      <c r="K68">
        <v>43.3003231</v>
      </c>
      <c r="L68">
        <v>13.4522659</v>
      </c>
      <c r="M68" t="s">
        <v>49</v>
      </c>
      <c r="N68" t="str">
        <f>TRIM(MID(M68,FIND(",",M68,FIND(",",M68)+1)+1,FIND(",",M68,FIND(",",M68,FIND(",",M68)+1)+1)-FIND(",",M68,FIND(",",M68)+1)-1))</f>
        <v>Macerata</v>
      </c>
    </row>
    <row r="69" spans="1:14" x14ac:dyDescent="0.3">
      <c r="A69">
        <v>68</v>
      </c>
      <c r="B69">
        <v>2</v>
      </c>
      <c r="D69" t="s">
        <v>211</v>
      </c>
      <c r="E69" t="s">
        <v>211</v>
      </c>
      <c r="F69" t="s">
        <v>22</v>
      </c>
      <c r="G69" t="s">
        <v>22</v>
      </c>
      <c r="J69" t="s">
        <v>212</v>
      </c>
      <c r="K69">
        <v>43.299653599999999</v>
      </c>
      <c r="L69">
        <v>13.4509261</v>
      </c>
      <c r="M69" t="s">
        <v>213</v>
      </c>
      <c r="N69" t="str">
        <f>TRIM(MID(M69,FIND(",",M69,FIND(",",M69)+1)+1,FIND(",",M69,FIND(",",M69,FIND(",",M69)+1)+1)-FIND(",",M69,FIND(",",M69)+1)-1))</f>
        <v>Macerata</v>
      </c>
    </row>
    <row r="70" spans="1:14" x14ac:dyDescent="0.3">
      <c r="A70">
        <v>69</v>
      </c>
      <c r="B70">
        <v>2</v>
      </c>
      <c r="D70" t="s">
        <v>214</v>
      </c>
      <c r="E70" t="s">
        <v>215</v>
      </c>
      <c r="F70">
        <v>3</v>
      </c>
      <c r="G70">
        <v>5</v>
      </c>
      <c r="J70" t="s">
        <v>216</v>
      </c>
      <c r="K70">
        <v>43.299855600000001</v>
      </c>
      <c r="L70">
        <v>13.4449311</v>
      </c>
      <c r="M70" t="s">
        <v>217</v>
      </c>
      <c r="N70" t="str">
        <f>TRIM(MID(M70,FIND(",",M70,FIND(",",M70)+1)+1,FIND(",",M70,FIND(",",M70,FIND(",",M70)+1)+1)-FIND(",",M70,FIND(",",M70)+1)-1))</f>
        <v>Fonte Scodella</v>
      </c>
    </row>
    <row r="71" spans="1:14" x14ac:dyDescent="0.3">
      <c r="A71">
        <v>70</v>
      </c>
      <c r="B71">
        <v>2</v>
      </c>
      <c r="D71" t="s">
        <v>214</v>
      </c>
      <c r="E71" t="s">
        <v>215</v>
      </c>
      <c r="F71">
        <v>10</v>
      </c>
      <c r="G71">
        <v>18</v>
      </c>
      <c r="J71" t="s">
        <v>218</v>
      </c>
      <c r="K71">
        <v>43.299167599999997</v>
      </c>
      <c r="L71">
        <v>13.444726899999999</v>
      </c>
      <c r="M71" t="s">
        <v>219</v>
      </c>
      <c r="N71" t="str">
        <f>TRIM(MID(M71,FIND(",",M71,FIND(",",M71)+1)+1,FIND(",",M71,FIND(",",M71,FIND(",",M71)+1)+1)-FIND(",",M71,FIND(",",M71)+1)-1))</f>
        <v>Fonte Scodella</v>
      </c>
    </row>
    <row r="72" spans="1:14" x14ac:dyDescent="0.3">
      <c r="A72">
        <v>71</v>
      </c>
      <c r="B72">
        <v>2</v>
      </c>
      <c r="D72" t="s">
        <v>220</v>
      </c>
      <c r="E72" t="s">
        <v>220</v>
      </c>
      <c r="F72" t="s">
        <v>22</v>
      </c>
      <c r="G72" t="s">
        <v>22</v>
      </c>
      <c r="J72" t="s">
        <v>221</v>
      </c>
      <c r="K72">
        <v>43.299079999999996</v>
      </c>
      <c r="L72">
        <v>13.451286</v>
      </c>
      <c r="M72" t="s">
        <v>222</v>
      </c>
      <c r="N72" t="str">
        <f>TRIM(MID(M72,FIND(",",M72,FIND(",",M72)+1)+1,FIND(",",M72,FIND(",",M72,FIND(",",M72)+1)+1)-FIND(",",M72,FIND(",",M72)+1)-1))</f>
        <v>Macerata</v>
      </c>
    </row>
    <row r="73" spans="1:14" x14ac:dyDescent="0.3">
      <c r="A73">
        <v>72</v>
      </c>
      <c r="B73">
        <v>2</v>
      </c>
      <c r="D73" t="s">
        <v>223</v>
      </c>
      <c r="E73" t="s">
        <v>223</v>
      </c>
      <c r="F73" t="s">
        <v>22</v>
      </c>
      <c r="G73" t="s">
        <v>22</v>
      </c>
      <c r="J73" t="s">
        <v>224</v>
      </c>
      <c r="K73">
        <v>43.299132100000001</v>
      </c>
      <c r="L73">
        <v>13.4459579</v>
      </c>
      <c r="M73" t="s">
        <v>225</v>
      </c>
      <c r="N73" t="str">
        <f>TRIM(MID(M73,FIND(",",M73,FIND(",",M73)+1)+1,FIND(",",M73,FIND(",",M73,FIND(",",M73)+1)+1)-FIND(",",M73,FIND(",",M73)+1)-1))</f>
        <v>Fonte Scodella</v>
      </c>
    </row>
    <row r="74" spans="1:14" x14ac:dyDescent="0.3">
      <c r="A74">
        <v>73</v>
      </c>
      <c r="B74">
        <v>2</v>
      </c>
      <c r="D74" t="s">
        <v>226</v>
      </c>
      <c r="E74" t="s">
        <v>226</v>
      </c>
      <c r="F74" t="s">
        <v>22</v>
      </c>
      <c r="G74" t="s">
        <v>22</v>
      </c>
      <c r="J74" t="s">
        <v>227</v>
      </c>
      <c r="K74">
        <v>43.299924099999998</v>
      </c>
      <c r="L74">
        <v>13.450676</v>
      </c>
      <c r="M74" t="s">
        <v>228</v>
      </c>
      <c r="N74" t="str">
        <f>TRIM(MID(M74,FIND(",",M74,FIND(",",M74)+1)+1,FIND(",",M74,FIND(",",M74,FIND(",",M74)+1)+1)-FIND(",",M74,FIND(",",M74)+1)-1))</f>
        <v>Macerata</v>
      </c>
    </row>
    <row r="75" spans="1:14" x14ac:dyDescent="0.3">
      <c r="A75">
        <v>74</v>
      </c>
      <c r="B75">
        <v>2</v>
      </c>
      <c r="D75" t="s">
        <v>229</v>
      </c>
      <c r="E75" t="s">
        <v>229</v>
      </c>
      <c r="F75" t="s">
        <v>22</v>
      </c>
      <c r="G75" t="s">
        <v>22</v>
      </c>
      <c r="J75" t="s">
        <v>230</v>
      </c>
      <c r="K75">
        <v>43.299928100000002</v>
      </c>
      <c r="L75">
        <v>13.449800099999999</v>
      </c>
      <c r="M75" t="s">
        <v>231</v>
      </c>
      <c r="N75" t="str">
        <f>TRIM(MID(M75,FIND(",",M75,FIND(",",M75)+1)+1,FIND(",",M75,FIND(",",M75,FIND(",",M75)+1)+1)-FIND(",",M75,FIND(",",M75)+1)-1))</f>
        <v>Macerata</v>
      </c>
    </row>
    <row r="76" spans="1:14" x14ac:dyDescent="0.3">
      <c r="A76">
        <v>75</v>
      </c>
      <c r="B76">
        <v>2</v>
      </c>
      <c r="D76" t="s">
        <v>232</v>
      </c>
      <c r="E76" t="s">
        <v>89</v>
      </c>
      <c r="F76">
        <v>113</v>
      </c>
      <c r="G76">
        <v>165</v>
      </c>
      <c r="J76" t="s">
        <v>233</v>
      </c>
      <c r="K76">
        <v>43.2985063</v>
      </c>
      <c r="L76">
        <v>13.4516543</v>
      </c>
      <c r="M76" t="s">
        <v>91</v>
      </c>
      <c r="N76" t="str">
        <f>TRIM(MID(M76,FIND(",",M76,FIND(",",M76)+1)+1,FIND(",",M76,FIND(",",M76,FIND(",",M76)+1)+1)-FIND(",",M76,FIND(",",M76)+1)-1))</f>
        <v>Macerata</v>
      </c>
    </row>
    <row r="77" spans="1:14" x14ac:dyDescent="0.3">
      <c r="A77">
        <v>76</v>
      </c>
      <c r="B77">
        <v>2</v>
      </c>
      <c r="D77" t="s">
        <v>232</v>
      </c>
      <c r="E77" t="s">
        <v>89</v>
      </c>
      <c r="F77">
        <v>78</v>
      </c>
      <c r="G77">
        <v>120</v>
      </c>
      <c r="J77" t="s">
        <v>234</v>
      </c>
      <c r="K77">
        <v>43.2985063</v>
      </c>
      <c r="L77">
        <v>13.4516543</v>
      </c>
      <c r="M77" t="s">
        <v>91</v>
      </c>
      <c r="N77" t="str">
        <f>TRIM(MID(M77,FIND(",",M77,FIND(",",M77)+1)+1,FIND(",",M77,FIND(",",M77,FIND(",",M77)+1)+1)-FIND(",",M77,FIND(",",M77)+1)-1))</f>
        <v>Macerata</v>
      </c>
    </row>
    <row r="78" spans="1:14" x14ac:dyDescent="0.3">
      <c r="A78">
        <v>77</v>
      </c>
      <c r="B78">
        <v>2</v>
      </c>
      <c r="D78" t="s">
        <v>235</v>
      </c>
      <c r="E78" t="s">
        <v>235</v>
      </c>
      <c r="F78" t="s">
        <v>22</v>
      </c>
      <c r="G78" t="s">
        <v>22</v>
      </c>
      <c r="J78" t="s">
        <v>236</v>
      </c>
      <c r="K78">
        <v>43.300112300000002</v>
      </c>
      <c r="L78">
        <v>13.4527204</v>
      </c>
      <c r="M78" t="s">
        <v>237</v>
      </c>
      <c r="N78" t="str">
        <f>TRIM(MID(M78,FIND(",",M78,FIND(",",M78)+1)+1,FIND(",",M78,FIND(",",M78,FIND(",",M78)+1)+1)-FIND(",",M78,FIND(",",M78)+1)-1))</f>
        <v>Macerata</v>
      </c>
    </row>
    <row r="79" spans="1:14" x14ac:dyDescent="0.3">
      <c r="A79">
        <v>78</v>
      </c>
      <c r="B79">
        <v>2</v>
      </c>
      <c r="D79" t="s">
        <v>238</v>
      </c>
      <c r="E79" t="s">
        <v>238</v>
      </c>
      <c r="F79" t="s">
        <v>22</v>
      </c>
      <c r="G79" t="s">
        <v>22</v>
      </c>
      <c r="J79" t="s">
        <v>239</v>
      </c>
      <c r="K79">
        <v>43.300604399999997</v>
      </c>
      <c r="L79">
        <v>13.446820499999999</v>
      </c>
      <c r="M79" t="s">
        <v>240</v>
      </c>
      <c r="N79" t="str">
        <f>TRIM(MID(M79,FIND(",",M79,FIND(",",M79)+1)+1,FIND(",",M79,FIND(",",M79,FIND(",",M79)+1)+1)-FIND(",",M79,FIND(",",M79)+1)-1))</f>
        <v>Tribunale</v>
      </c>
    </row>
    <row r="80" spans="1:14" x14ac:dyDescent="0.3">
      <c r="A80">
        <v>79</v>
      </c>
      <c r="B80">
        <v>2</v>
      </c>
      <c r="D80" t="s">
        <v>241</v>
      </c>
      <c r="E80" t="s">
        <v>241</v>
      </c>
      <c r="F80" t="s">
        <v>22</v>
      </c>
      <c r="G80" t="s">
        <v>22</v>
      </c>
      <c r="J80" t="s">
        <v>242</v>
      </c>
      <c r="K80">
        <v>43.298135199999997</v>
      </c>
      <c r="L80">
        <v>13.4493578</v>
      </c>
      <c r="M80" t="s">
        <v>243</v>
      </c>
      <c r="N80" t="str">
        <f>TRIM(MID(M80,FIND(",",M80,FIND(",",M80)+1)+1,FIND(",",M80,FIND(",",M80,FIND(",",M80)+1)+1)-FIND(",",M80,FIND(",",M80)+1)-1))</f>
        <v>Macerata</v>
      </c>
    </row>
    <row r="81" spans="1:14" x14ac:dyDescent="0.3">
      <c r="A81">
        <v>80</v>
      </c>
      <c r="B81">
        <v>2</v>
      </c>
      <c r="D81" t="s">
        <v>244</v>
      </c>
      <c r="E81" t="s">
        <v>244</v>
      </c>
      <c r="F81" t="s">
        <v>22</v>
      </c>
      <c r="G81" t="s">
        <v>22</v>
      </c>
      <c r="J81" t="s">
        <v>245</v>
      </c>
      <c r="K81">
        <v>43.298256899999998</v>
      </c>
      <c r="L81">
        <v>13.4499206</v>
      </c>
      <c r="M81" t="s">
        <v>246</v>
      </c>
      <c r="N81" t="str">
        <f>TRIM(MID(M81,FIND(",",M81,FIND(",",M81)+1)+1,FIND(",",M81,FIND(",",M81,FIND(",",M81)+1)+1)-FIND(",",M81,FIND(",",M81)+1)-1))</f>
        <v>Macerata</v>
      </c>
    </row>
    <row r="82" spans="1:14" x14ac:dyDescent="0.3">
      <c r="A82">
        <v>81</v>
      </c>
      <c r="B82">
        <v>2</v>
      </c>
      <c r="D82" t="s">
        <v>247</v>
      </c>
      <c r="E82" t="s">
        <v>248</v>
      </c>
      <c r="F82">
        <v>1</v>
      </c>
      <c r="G82">
        <v>21</v>
      </c>
      <c r="J82" t="s">
        <v>249</v>
      </c>
      <c r="K82">
        <v>43.2986638</v>
      </c>
      <c r="L82">
        <v>13.443898900000001</v>
      </c>
      <c r="M82" t="s">
        <v>250</v>
      </c>
      <c r="N82" t="str">
        <f>TRIM(MID(M82,FIND(",",M82,FIND(",",M82)+1)+1,FIND(",",M82,FIND(",",M82,FIND(",",M82)+1)+1)-FIND(",",M82,FIND(",",M82)+1)-1))</f>
        <v>Fonte Scodella</v>
      </c>
    </row>
    <row r="83" spans="1:14" x14ac:dyDescent="0.3">
      <c r="A83">
        <v>82</v>
      </c>
      <c r="B83">
        <v>2</v>
      </c>
      <c r="D83" t="s">
        <v>247</v>
      </c>
      <c r="E83" t="s">
        <v>248</v>
      </c>
      <c r="F83">
        <v>2</v>
      </c>
      <c r="G83">
        <v>6</v>
      </c>
      <c r="J83" t="s">
        <v>251</v>
      </c>
      <c r="K83">
        <v>43.2986638</v>
      </c>
      <c r="L83">
        <v>13.443898900000001</v>
      </c>
      <c r="M83" t="s">
        <v>250</v>
      </c>
      <c r="N83" t="str">
        <f>TRIM(MID(M83,FIND(",",M83,FIND(",",M83)+1)+1,FIND(",",M83,FIND(",",M83,FIND(",",M83)+1)+1)-FIND(",",M83,FIND(",",M83)+1)-1))</f>
        <v>Fonte Scodella</v>
      </c>
    </row>
    <row r="84" spans="1:14" x14ac:dyDescent="0.3">
      <c r="A84">
        <v>83</v>
      </c>
      <c r="B84">
        <v>2</v>
      </c>
      <c r="D84" t="s">
        <v>252</v>
      </c>
      <c r="E84" t="s">
        <v>252</v>
      </c>
      <c r="F84" t="s">
        <v>22</v>
      </c>
      <c r="G84" t="s">
        <v>22</v>
      </c>
      <c r="J84" t="s">
        <v>253</v>
      </c>
      <c r="K84">
        <v>43.301054399999998</v>
      </c>
      <c r="L84">
        <v>13.4484899</v>
      </c>
      <c r="M84" t="s">
        <v>254</v>
      </c>
      <c r="N84" t="str">
        <f>TRIM(MID(M84,FIND(",",M84,FIND(",",M84)+1)+1,FIND(",",M84,FIND(",",M84,FIND(",",M84)+1)+1)-FIND(",",M84,FIND(",",M84)+1)-1))</f>
        <v>Macerata</v>
      </c>
    </row>
    <row r="85" spans="1:14" x14ac:dyDescent="0.3">
      <c r="A85">
        <v>84</v>
      </c>
      <c r="B85">
        <v>2</v>
      </c>
      <c r="D85" t="s">
        <v>255</v>
      </c>
      <c r="E85" t="s">
        <v>255</v>
      </c>
      <c r="F85" t="s">
        <v>22</v>
      </c>
      <c r="G85" t="s">
        <v>22</v>
      </c>
      <c r="J85" t="s">
        <v>256</v>
      </c>
      <c r="K85">
        <v>43.300109599999999</v>
      </c>
      <c r="L85">
        <v>13.4519441</v>
      </c>
      <c r="M85" t="s">
        <v>257</v>
      </c>
      <c r="N85" t="str">
        <f>TRIM(MID(M85,FIND(",",M85,FIND(",",M85)+1)+1,FIND(",",M85,FIND(",",M85,FIND(",",M85)+1)+1)-FIND(",",M85,FIND(",",M85)+1)-1))</f>
        <v>Macerata</v>
      </c>
    </row>
    <row r="86" spans="1:14" x14ac:dyDescent="0.3">
      <c r="A86">
        <v>85</v>
      </c>
      <c r="B86">
        <v>2</v>
      </c>
      <c r="D86" t="s">
        <v>258</v>
      </c>
      <c r="E86" t="s">
        <v>258</v>
      </c>
      <c r="F86" t="s">
        <v>22</v>
      </c>
      <c r="G86" t="s">
        <v>22</v>
      </c>
      <c r="J86" t="s">
        <v>259</v>
      </c>
      <c r="K86">
        <v>43.300527600000002</v>
      </c>
      <c r="L86">
        <v>13.4487595</v>
      </c>
      <c r="M86" t="s">
        <v>260</v>
      </c>
      <c r="N86" t="str">
        <f>TRIM(MID(M86,FIND(",",M86,FIND(",",M86)+1)+1,FIND(",",M86,FIND(",",M86,FIND(",",M86)+1)+1)-FIND(",",M86,FIND(",",M86)+1)-1))</f>
        <v>Macerata</v>
      </c>
    </row>
    <row r="87" spans="1:14" x14ac:dyDescent="0.3">
      <c r="A87">
        <v>86</v>
      </c>
      <c r="B87">
        <v>2</v>
      </c>
      <c r="D87" t="s">
        <v>261</v>
      </c>
      <c r="E87" t="s">
        <v>103</v>
      </c>
      <c r="F87">
        <v>6</v>
      </c>
      <c r="G87">
        <v>26</v>
      </c>
      <c r="J87" t="s">
        <v>262</v>
      </c>
      <c r="K87">
        <v>43.3003359</v>
      </c>
      <c r="L87">
        <v>13.4503305</v>
      </c>
      <c r="M87" t="s">
        <v>263</v>
      </c>
      <c r="N87" t="str">
        <f>TRIM(MID(M87,FIND(",",M87,FIND(",",M87)+1)+1,FIND(",",M87,FIND(",",M87,FIND(",",M87)+1)+1)-FIND(",",M87,FIND(",",M87)+1)-1))</f>
        <v>Via Tommaso Lauri</v>
      </c>
    </row>
    <row r="88" spans="1:14" x14ac:dyDescent="0.3">
      <c r="A88">
        <v>87</v>
      </c>
      <c r="B88">
        <v>2</v>
      </c>
      <c r="D88" t="s">
        <v>264</v>
      </c>
      <c r="E88" t="s">
        <v>264</v>
      </c>
      <c r="F88" t="s">
        <v>22</v>
      </c>
      <c r="G88" t="s">
        <v>22</v>
      </c>
      <c r="J88" t="s">
        <v>265</v>
      </c>
      <c r="N88" t="e">
        <f>TRIM(MID(M88,FIND(",",M88,FIND(",",M88)+1)+1,FIND(",",M88,FIND(",",M88,FIND(",",M88)+1)+1)-FIND(",",M88,FIND(",",M88)+1)-1))</f>
        <v>#VALUE!</v>
      </c>
    </row>
    <row r="89" spans="1:14" x14ac:dyDescent="0.3">
      <c r="A89">
        <v>88</v>
      </c>
      <c r="B89">
        <v>2</v>
      </c>
      <c r="D89" t="s">
        <v>266</v>
      </c>
      <c r="E89" t="s">
        <v>266</v>
      </c>
      <c r="F89" t="s">
        <v>22</v>
      </c>
      <c r="G89" t="s">
        <v>22</v>
      </c>
      <c r="J89" t="s">
        <v>267</v>
      </c>
      <c r="K89">
        <v>43.299209300000001</v>
      </c>
      <c r="L89">
        <v>13.450734199999999</v>
      </c>
      <c r="M89" t="s">
        <v>268</v>
      </c>
      <c r="N89" t="str">
        <f>TRIM(MID(M89,FIND(",",M89,FIND(",",M89)+1)+1,FIND(",",M89,FIND(",",M89,FIND(",",M89)+1)+1)-FIND(",",M89,FIND(",",M89)+1)-1))</f>
        <v>Macerata</v>
      </c>
    </row>
    <row r="90" spans="1:14" x14ac:dyDescent="0.3">
      <c r="A90">
        <v>89</v>
      </c>
      <c r="B90">
        <v>2</v>
      </c>
      <c r="D90" t="s">
        <v>269</v>
      </c>
      <c r="E90" t="s">
        <v>270</v>
      </c>
      <c r="F90">
        <v>10</v>
      </c>
      <c r="G90">
        <v>10</v>
      </c>
      <c r="J90" t="s">
        <v>271</v>
      </c>
      <c r="K90">
        <v>43.298063300000003</v>
      </c>
      <c r="L90">
        <v>13.4437429</v>
      </c>
      <c r="M90" t="s">
        <v>272</v>
      </c>
      <c r="N90" t="str">
        <f>TRIM(MID(M90,FIND(",",M90,FIND(",",M90)+1)+1,FIND(",",M90,FIND(",",M90,FIND(",",M90)+1)+1)-FIND(",",M90,FIND(",",M90)+1)-1))</f>
        <v>Macerata</v>
      </c>
    </row>
    <row r="91" spans="1:14" x14ac:dyDescent="0.3">
      <c r="A91">
        <v>90</v>
      </c>
      <c r="B91">
        <v>2</v>
      </c>
      <c r="D91" t="s">
        <v>273</v>
      </c>
      <c r="E91" t="s">
        <v>273</v>
      </c>
      <c r="F91" t="s">
        <v>22</v>
      </c>
      <c r="G91" t="s">
        <v>22</v>
      </c>
      <c r="J91" t="s">
        <v>274</v>
      </c>
      <c r="K91">
        <v>43.299370099999997</v>
      </c>
      <c r="L91">
        <v>13.4504588</v>
      </c>
      <c r="M91" t="s">
        <v>275</v>
      </c>
      <c r="N91" t="str">
        <f>TRIM(MID(M91,FIND(",",M91,FIND(",",M91)+1)+1,FIND(",",M91,FIND(",",M91,FIND(",",M91)+1)+1)-FIND(",",M91,FIND(",",M91)+1)-1))</f>
        <v>Macerata</v>
      </c>
    </row>
    <row r="92" spans="1:14" x14ac:dyDescent="0.3">
      <c r="A92">
        <v>91</v>
      </c>
      <c r="B92">
        <v>2</v>
      </c>
      <c r="D92" t="s">
        <v>276</v>
      </c>
      <c r="E92" t="s">
        <v>276</v>
      </c>
      <c r="F92" t="s">
        <v>22</v>
      </c>
      <c r="G92" t="s">
        <v>22</v>
      </c>
      <c r="J92" t="s">
        <v>277</v>
      </c>
      <c r="K92">
        <v>43.300202499999997</v>
      </c>
      <c r="L92">
        <v>13.447911700000001</v>
      </c>
      <c r="M92" t="s">
        <v>278</v>
      </c>
      <c r="N92" t="str">
        <f>TRIM(MID(M92,FIND(",",M92,FIND(",",M92)+1)+1,FIND(",",M92,FIND(",",M92,FIND(",",M92)+1)+1)-FIND(",",M92,FIND(",",M92)+1)-1))</f>
        <v>Tribunale</v>
      </c>
    </row>
    <row r="93" spans="1:14" x14ac:dyDescent="0.3">
      <c r="A93">
        <v>92</v>
      </c>
      <c r="B93">
        <v>2</v>
      </c>
      <c r="D93" t="s">
        <v>279</v>
      </c>
      <c r="E93" t="s">
        <v>279</v>
      </c>
      <c r="F93" t="s">
        <v>22</v>
      </c>
      <c r="G93" t="s">
        <v>22</v>
      </c>
      <c r="J93" t="s">
        <v>280</v>
      </c>
      <c r="K93">
        <v>43.298658199999998</v>
      </c>
      <c r="L93">
        <v>13.4498216</v>
      </c>
      <c r="M93" t="s">
        <v>281</v>
      </c>
      <c r="N93" t="str">
        <f>TRIM(MID(M93,FIND(",",M93,FIND(",",M93)+1)+1,FIND(",",M93,FIND(",",M93,FIND(",",M93)+1)+1)-FIND(",",M93,FIND(",",M93)+1)-1))</f>
        <v>Macerata</v>
      </c>
    </row>
    <row r="94" spans="1:14" x14ac:dyDescent="0.3">
      <c r="A94">
        <v>93</v>
      </c>
      <c r="B94">
        <v>2</v>
      </c>
      <c r="D94" t="s">
        <v>282</v>
      </c>
      <c r="E94" t="s">
        <v>282</v>
      </c>
      <c r="F94" t="s">
        <v>22</v>
      </c>
      <c r="G94" t="s">
        <v>22</v>
      </c>
      <c r="J94" t="s">
        <v>283</v>
      </c>
      <c r="K94">
        <v>43.299802200000002</v>
      </c>
      <c r="L94">
        <v>13.4493749</v>
      </c>
      <c r="M94" t="s">
        <v>284</v>
      </c>
      <c r="N94" t="str">
        <f>TRIM(MID(M94,FIND(",",M94,FIND(",",M94)+1)+1,FIND(",",M94,FIND(",",M94,FIND(",",M94)+1)+1)-FIND(",",M94,FIND(",",M94)+1)-1))</f>
        <v>Macerata</v>
      </c>
    </row>
    <row r="95" spans="1:14" x14ac:dyDescent="0.3">
      <c r="A95">
        <v>94</v>
      </c>
      <c r="B95">
        <v>2</v>
      </c>
      <c r="D95" t="s">
        <v>285</v>
      </c>
      <c r="E95" t="s">
        <v>285</v>
      </c>
      <c r="F95" t="s">
        <v>22</v>
      </c>
      <c r="G95" t="s">
        <v>22</v>
      </c>
      <c r="J95" t="s">
        <v>286</v>
      </c>
      <c r="K95">
        <v>43.300661300000002</v>
      </c>
      <c r="L95">
        <v>13.448394499999999</v>
      </c>
      <c r="M95" t="s">
        <v>287</v>
      </c>
      <c r="N95" t="str">
        <f>TRIM(MID(M95,FIND(",",M95,FIND(",",M95)+1)+1,FIND(",",M95,FIND(",",M95,FIND(",",M95)+1)+1)-FIND(",",M95,FIND(",",M95)+1)-1))</f>
        <v>Macerata</v>
      </c>
    </row>
    <row r="96" spans="1:14" x14ac:dyDescent="0.3">
      <c r="A96">
        <v>95</v>
      </c>
      <c r="B96">
        <v>2</v>
      </c>
      <c r="D96" t="s">
        <v>288</v>
      </c>
      <c r="E96" t="s">
        <v>288</v>
      </c>
      <c r="F96" t="s">
        <v>22</v>
      </c>
      <c r="G96" t="s">
        <v>22</v>
      </c>
      <c r="J96" t="s">
        <v>289</v>
      </c>
      <c r="K96">
        <v>43.300353100000002</v>
      </c>
      <c r="L96">
        <v>13.448537999999999</v>
      </c>
      <c r="M96" t="s">
        <v>290</v>
      </c>
      <c r="N96" t="str">
        <f>TRIM(MID(M96,FIND(",",M96,FIND(",",M96)+1)+1,FIND(",",M96,FIND(",",M96,FIND(",",M96)+1)+1)-FIND(",",M96,FIND(",",M96)+1)-1))</f>
        <v>Macerata</v>
      </c>
    </row>
    <row r="97" spans="1:14" x14ac:dyDescent="0.3">
      <c r="A97">
        <v>96</v>
      </c>
      <c r="B97">
        <v>2</v>
      </c>
      <c r="D97" t="s">
        <v>291</v>
      </c>
      <c r="E97" t="s">
        <v>291</v>
      </c>
      <c r="F97" t="s">
        <v>22</v>
      </c>
      <c r="G97" t="s">
        <v>22</v>
      </c>
      <c r="J97" t="s">
        <v>292</v>
      </c>
      <c r="K97">
        <v>43.299041000000003</v>
      </c>
      <c r="L97">
        <v>13.449344699999999</v>
      </c>
      <c r="M97" t="s">
        <v>293</v>
      </c>
      <c r="N97" t="str">
        <f>TRIM(MID(M97,FIND(",",M97,FIND(",",M97)+1)+1,FIND(",",M97,FIND(",",M97,FIND(",",M97)+1)+1)-FIND(",",M97,FIND(",",M97)+1)-1))</f>
        <v>Macerata</v>
      </c>
    </row>
    <row r="98" spans="1:14" x14ac:dyDescent="0.3">
      <c r="A98">
        <v>97</v>
      </c>
      <c r="B98">
        <v>2</v>
      </c>
      <c r="D98" t="s">
        <v>294</v>
      </c>
      <c r="E98" t="s">
        <v>294</v>
      </c>
      <c r="F98" t="s">
        <v>22</v>
      </c>
      <c r="G98" t="s">
        <v>22</v>
      </c>
      <c r="J98" t="s">
        <v>295</v>
      </c>
      <c r="K98">
        <v>43.299863500000001</v>
      </c>
      <c r="L98">
        <v>13.4512257</v>
      </c>
      <c r="M98" t="s">
        <v>296</v>
      </c>
      <c r="N98" t="str">
        <f>TRIM(MID(M98,FIND(",",M98,FIND(",",M98)+1)+1,FIND(",",M98,FIND(",",M98,FIND(",",M98)+1)+1)-FIND(",",M98,FIND(",",M98)+1)-1))</f>
        <v>Macerata</v>
      </c>
    </row>
    <row r="99" spans="1:14" x14ac:dyDescent="0.3">
      <c r="A99">
        <v>98</v>
      </c>
      <c r="B99">
        <v>2</v>
      </c>
      <c r="D99" t="s">
        <v>297</v>
      </c>
      <c r="E99" t="s">
        <v>297</v>
      </c>
      <c r="F99" t="s">
        <v>22</v>
      </c>
      <c r="G99" t="s">
        <v>22</v>
      </c>
      <c r="J99" t="s">
        <v>298</v>
      </c>
      <c r="K99">
        <v>43.299953000000002</v>
      </c>
      <c r="L99">
        <v>13.4502021</v>
      </c>
      <c r="M99" t="s">
        <v>299</v>
      </c>
      <c r="N99" t="str">
        <f>TRIM(MID(M99,FIND(",",M99,FIND(",",M99)+1)+1,FIND(",",M99,FIND(",",M99,FIND(",",M99)+1)+1)-FIND(",",M99,FIND(",",M99)+1)-1))</f>
        <v>Macerata</v>
      </c>
    </row>
    <row r="100" spans="1:14" x14ac:dyDescent="0.3">
      <c r="A100">
        <v>99</v>
      </c>
      <c r="B100">
        <v>2</v>
      </c>
      <c r="D100" t="s">
        <v>300</v>
      </c>
      <c r="E100" t="s">
        <v>300</v>
      </c>
      <c r="F100" t="s">
        <v>22</v>
      </c>
      <c r="G100" t="s">
        <v>22</v>
      </c>
      <c r="J100" t="s">
        <v>301</v>
      </c>
      <c r="K100">
        <v>43.3002076</v>
      </c>
      <c r="L100">
        <v>13.450299299999999</v>
      </c>
      <c r="M100" t="s">
        <v>302</v>
      </c>
      <c r="N100" t="str">
        <f>TRIM(MID(M100,FIND(",",M100,FIND(",",M100)+1)+1,FIND(",",M100,FIND(",",M100,FIND(",",M100)+1)+1)-FIND(",",M100,FIND(",",M100)+1)-1))</f>
        <v>Macerata</v>
      </c>
    </row>
    <row r="101" spans="1:14" x14ac:dyDescent="0.3">
      <c r="A101">
        <v>100</v>
      </c>
      <c r="B101">
        <v>2</v>
      </c>
      <c r="D101" t="s">
        <v>303</v>
      </c>
      <c r="E101" t="s">
        <v>303</v>
      </c>
      <c r="F101" t="s">
        <v>22</v>
      </c>
      <c r="G101" t="s">
        <v>22</v>
      </c>
      <c r="J101" t="s">
        <v>304</v>
      </c>
      <c r="K101">
        <v>43.300551400000003</v>
      </c>
      <c r="L101">
        <v>13.4482169</v>
      </c>
      <c r="M101" t="s">
        <v>305</v>
      </c>
      <c r="N101" t="str">
        <f>TRIM(MID(M101,FIND(",",M101,FIND(",",M101)+1)+1,FIND(",",M101,FIND(",",M101,FIND(",",M101)+1)+1)-FIND(",",M101,FIND(",",M101)+1)-1))</f>
        <v>Macerata</v>
      </c>
    </row>
    <row r="102" spans="1:14" x14ac:dyDescent="0.3">
      <c r="A102">
        <v>101</v>
      </c>
      <c r="B102">
        <v>2</v>
      </c>
      <c r="D102" t="s">
        <v>306</v>
      </c>
      <c r="E102" t="s">
        <v>306</v>
      </c>
      <c r="F102" t="s">
        <v>22</v>
      </c>
      <c r="G102" t="s">
        <v>22</v>
      </c>
      <c r="J102" t="s">
        <v>307</v>
      </c>
      <c r="K102">
        <v>43.300632100000001</v>
      </c>
      <c r="L102">
        <v>13.447962199999999</v>
      </c>
      <c r="M102" t="s">
        <v>308</v>
      </c>
      <c r="N102" t="str">
        <f>TRIM(MID(M102,FIND(",",M102,FIND(",",M102)+1)+1,FIND(",",M102,FIND(",",M102,FIND(",",M102)+1)+1)-FIND(",",M102,FIND(",",M102)+1)-1))</f>
        <v>Macerata</v>
      </c>
    </row>
    <row r="103" spans="1:14" x14ac:dyDescent="0.3">
      <c r="A103">
        <v>102</v>
      </c>
      <c r="B103">
        <v>2</v>
      </c>
      <c r="D103" t="s">
        <v>309</v>
      </c>
      <c r="E103" t="s">
        <v>309</v>
      </c>
      <c r="F103" t="s">
        <v>22</v>
      </c>
      <c r="G103" t="s">
        <v>22</v>
      </c>
      <c r="J103" t="s">
        <v>310</v>
      </c>
      <c r="K103">
        <v>43.301347499999999</v>
      </c>
      <c r="L103">
        <v>13.449026399999999</v>
      </c>
      <c r="M103" t="s">
        <v>311</v>
      </c>
      <c r="N103" t="str">
        <f>TRIM(MID(M103,FIND(",",M103,FIND(",",M103)+1)+1,FIND(",",M103,FIND(",",M103,FIND(",",M103)+1)+1)-FIND(",",M103,FIND(",",M103)+1)-1))</f>
        <v>Macerata</v>
      </c>
    </row>
    <row r="104" spans="1:14" x14ac:dyDescent="0.3">
      <c r="A104">
        <v>103</v>
      </c>
      <c r="B104">
        <v>2</v>
      </c>
      <c r="D104" t="s">
        <v>312</v>
      </c>
      <c r="E104" t="s">
        <v>312</v>
      </c>
      <c r="F104" t="s">
        <v>22</v>
      </c>
      <c r="G104" t="s">
        <v>22</v>
      </c>
      <c r="J104" t="s">
        <v>313</v>
      </c>
      <c r="K104">
        <v>43.300175899999999</v>
      </c>
      <c r="L104">
        <v>13.448959199999999</v>
      </c>
      <c r="M104" t="s">
        <v>314</v>
      </c>
      <c r="N104" t="str">
        <f>TRIM(MID(M104,FIND(",",M104,FIND(",",M104)+1)+1,FIND(",",M104,FIND(",",M104,FIND(",",M104)+1)+1)-FIND(",",M104,FIND(",",M104)+1)-1))</f>
        <v>Macerata</v>
      </c>
    </row>
    <row r="105" spans="1:14" x14ac:dyDescent="0.3">
      <c r="A105">
        <v>104</v>
      </c>
      <c r="B105">
        <v>2</v>
      </c>
      <c r="D105" t="s">
        <v>315</v>
      </c>
      <c r="E105" t="s">
        <v>315</v>
      </c>
      <c r="F105" t="s">
        <v>22</v>
      </c>
      <c r="G105" t="s">
        <v>22</v>
      </c>
      <c r="J105" t="s">
        <v>316</v>
      </c>
      <c r="K105">
        <v>43.301391600000002</v>
      </c>
      <c r="L105">
        <v>13.4482617</v>
      </c>
      <c r="M105" t="s">
        <v>317</v>
      </c>
      <c r="N105" t="str">
        <f>TRIM(MID(M105,FIND(",",M105,FIND(",",M105)+1)+1,FIND(",",M105,FIND(",",M105,FIND(",",M105)+1)+1)-FIND(",",M105,FIND(",",M105)+1)-1))</f>
        <v>Macerata</v>
      </c>
    </row>
    <row r="106" spans="1:14" x14ac:dyDescent="0.3">
      <c r="A106">
        <v>105</v>
      </c>
      <c r="B106">
        <v>2</v>
      </c>
      <c r="D106" t="s">
        <v>318</v>
      </c>
      <c r="E106" t="s">
        <v>318</v>
      </c>
      <c r="F106" t="s">
        <v>22</v>
      </c>
      <c r="G106" t="s">
        <v>22</v>
      </c>
      <c r="J106" t="s">
        <v>319</v>
      </c>
      <c r="K106">
        <v>43.300798899999997</v>
      </c>
      <c r="L106">
        <v>13.448158599999999</v>
      </c>
      <c r="M106" t="s">
        <v>320</v>
      </c>
      <c r="N106" t="str">
        <f>TRIM(MID(M106,FIND(",",M106,FIND(",",M106)+1)+1,FIND(",",M106,FIND(",",M106,FIND(",",M106)+1)+1)-FIND(",",M106,FIND(",",M106)+1)-1))</f>
        <v>Macerata</v>
      </c>
    </row>
    <row r="107" spans="1:14" x14ac:dyDescent="0.3">
      <c r="A107">
        <v>106</v>
      </c>
      <c r="B107">
        <v>2</v>
      </c>
      <c r="D107" t="s">
        <v>321</v>
      </c>
      <c r="E107" t="s">
        <v>321</v>
      </c>
      <c r="F107" t="s">
        <v>22</v>
      </c>
      <c r="G107" t="s">
        <v>22</v>
      </c>
      <c r="J107" t="s">
        <v>322</v>
      </c>
      <c r="K107">
        <v>43.300133500000001</v>
      </c>
      <c r="L107">
        <v>13.450053499999999</v>
      </c>
      <c r="M107" t="s">
        <v>323</v>
      </c>
      <c r="N107" t="str">
        <f>TRIM(MID(M107,FIND(",",M107,FIND(",",M107)+1)+1,FIND(",",M107,FIND(",",M107,FIND(",",M107)+1)+1)-FIND(",",M107,FIND(",",M107)+1)-1))</f>
        <v>Macerata</v>
      </c>
    </row>
    <row r="108" spans="1:14" x14ac:dyDescent="0.3">
      <c r="A108">
        <v>107</v>
      </c>
      <c r="B108">
        <v>3</v>
      </c>
      <c r="D108" t="s">
        <v>324</v>
      </c>
      <c r="E108" t="s">
        <v>324</v>
      </c>
      <c r="F108" t="s">
        <v>22</v>
      </c>
      <c r="G108" t="s">
        <v>22</v>
      </c>
      <c r="J108" t="s">
        <v>325</v>
      </c>
      <c r="K108">
        <v>43.297417000000003</v>
      </c>
      <c r="L108">
        <v>13.4489047</v>
      </c>
      <c r="M108" t="s">
        <v>326</v>
      </c>
      <c r="N108" t="str">
        <f>TRIM(MID(M108,FIND(",",M108,FIND(",",M108)+1)+1,FIND(",",M108,FIND(",",M108,FIND(",",M108)+1)+1)-FIND(",",M108,FIND(",",M108)+1)-1))</f>
        <v>Macerata</v>
      </c>
    </row>
    <row r="109" spans="1:14" x14ac:dyDescent="0.3">
      <c r="A109">
        <v>108</v>
      </c>
      <c r="B109">
        <v>3</v>
      </c>
      <c r="D109" t="s">
        <v>327</v>
      </c>
      <c r="E109" t="s">
        <v>328</v>
      </c>
      <c r="F109">
        <v>7</v>
      </c>
      <c r="G109">
        <v>23</v>
      </c>
      <c r="J109" t="s">
        <v>329</v>
      </c>
      <c r="K109">
        <v>43.296705899999999</v>
      </c>
      <c r="L109">
        <v>13.4523715</v>
      </c>
      <c r="M109" t="s">
        <v>330</v>
      </c>
      <c r="N109" t="str">
        <f>TRIM(MID(M109,FIND(",",M109,FIND(",",M109)+1)+1,FIND(",",M109,FIND(",",M109,FIND(",",M109)+1)+1)-FIND(",",M109,FIND(",",M109)+1)-1))</f>
        <v>Tribunale</v>
      </c>
    </row>
    <row r="110" spans="1:14" x14ac:dyDescent="0.3">
      <c r="A110">
        <v>109</v>
      </c>
      <c r="B110">
        <v>3</v>
      </c>
      <c r="D110" t="s">
        <v>331</v>
      </c>
      <c r="E110" t="s">
        <v>331</v>
      </c>
      <c r="F110" t="s">
        <v>22</v>
      </c>
      <c r="G110" t="s">
        <v>22</v>
      </c>
      <c r="J110" t="s">
        <v>332</v>
      </c>
      <c r="N110" t="e">
        <f>TRIM(MID(M110,FIND(",",M110,FIND(",",M110)+1)+1,FIND(",",M110,FIND(",",M110,FIND(",",M110)+1)+1)-FIND(",",M110,FIND(",",M110)+1)-1))</f>
        <v>#VALUE!</v>
      </c>
    </row>
    <row r="111" spans="1:14" x14ac:dyDescent="0.3">
      <c r="A111">
        <v>110</v>
      </c>
      <c r="B111">
        <v>3</v>
      </c>
      <c r="D111" t="s">
        <v>333</v>
      </c>
      <c r="E111" t="s">
        <v>334</v>
      </c>
      <c r="F111">
        <v>23</v>
      </c>
      <c r="G111">
        <v>75</v>
      </c>
      <c r="J111" t="s">
        <v>335</v>
      </c>
      <c r="K111">
        <v>43.297057000000002</v>
      </c>
      <c r="L111">
        <v>13.451156599999999</v>
      </c>
      <c r="M111" t="s">
        <v>336</v>
      </c>
      <c r="N111" t="str">
        <f>TRIM(MID(M111,FIND(",",M111,FIND(",",M111)+1)+1,FIND(",",M111,FIND(",",M111,FIND(",",M111)+1)+1)-FIND(",",M111,FIND(",",M111)+1)-1))</f>
        <v>Tribunale</v>
      </c>
    </row>
    <row r="112" spans="1:14" x14ac:dyDescent="0.3">
      <c r="A112">
        <v>111</v>
      </c>
      <c r="B112">
        <v>3</v>
      </c>
      <c r="D112" t="s">
        <v>333</v>
      </c>
      <c r="E112" t="s">
        <v>334</v>
      </c>
      <c r="F112">
        <v>4</v>
      </c>
      <c r="G112">
        <v>16</v>
      </c>
      <c r="J112" t="s">
        <v>337</v>
      </c>
      <c r="K112">
        <v>43.305814499999997</v>
      </c>
      <c r="L112">
        <v>13.7181339</v>
      </c>
      <c r="M112" t="s">
        <v>338</v>
      </c>
      <c r="N112" t="str">
        <f>TRIM(MID(M112,FIND(",",M112,FIND(",",M112)+1)+1,FIND(",",M112,FIND(",",M112,FIND(",",M112)+1)+1)-FIND(",",M112,FIND(",",M112)+1)-1))</f>
        <v>San Giuseppe</v>
      </c>
    </row>
    <row r="113" spans="1:14" x14ac:dyDescent="0.3">
      <c r="A113">
        <v>112</v>
      </c>
      <c r="B113">
        <v>3</v>
      </c>
      <c r="D113" t="s">
        <v>339</v>
      </c>
      <c r="E113" t="s">
        <v>340</v>
      </c>
      <c r="F113" t="s">
        <v>22</v>
      </c>
      <c r="G113" t="s">
        <v>22</v>
      </c>
      <c r="J113" t="s">
        <v>341</v>
      </c>
      <c r="K113">
        <v>43.296916099999997</v>
      </c>
      <c r="L113">
        <v>13.446804999999999</v>
      </c>
      <c r="M113" t="s">
        <v>342</v>
      </c>
      <c r="N113" t="str">
        <f>TRIM(MID(M113,FIND(",",M113,FIND(",",M113)+1)+1,FIND(",",M113,FIND(",",M113,FIND(",",M113)+1)+1)-FIND(",",M113,FIND(",",M113)+1)-1))</f>
        <v>Macerata</v>
      </c>
    </row>
    <row r="114" spans="1:14" x14ac:dyDescent="0.3">
      <c r="A114">
        <v>113</v>
      </c>
      <c r="B114">
        <v>3</v>
      </c>
      <c r="D114" t="s">
        <v>343</v>
      </c>
      <c r="E114" t="s">
        <v>344</v>
      </c>
      <c r="F114">
        <v>1</v>
      </c>
      <c r="G114">
        <v>1</v>
      </c>
      <c r="J114" t="s">
        <v>345</v>
      </c>
      <c r="K114">
        <v>43.304522400000003</v>
      </c>
      <c r="L114">
        <v>13.7317809</v>
      </c>
      <c r="M114" t="s">
        <v>346</v>
      </c>
      <c r="N114" t="str">
        <f>TRIM(MID(M114,FIND(",",M114,FIND(",",M114)+1)+1,FIND(",",M114,FIND(",",M114,FIND(",",M114)+1)+1)-FIND(",",M114,FIND(",",M114)+1)-1))</f>
        <v>San Giuseppe</v>
      </c>
    </row>
    <row r="115" spans="1:14" x14ac:dyDescent="0.3">
      <c r="A115">
        <v>114</v>
      </c>
      <c r="B115">
        <v>3</v>
      </c>
      <c r="D115" t="s">
        <v>347</v>
      </c>
      <c r="E115" t="s">
        <v>348</v>
      </c>
      <c r="F115">
        <v>1</v>
      </c>
      <c r="G115">
        <v>37</v>
      </c>
      <c r="J115" t="s">
        <v>349</v>
      </c>
      <c r="K115">
        <v>43.3071476</v>
      </c>
      <c r="L115">
        <v>13.7306893</v>
      </c>
      <c r="M115" t="s">
        <v>350</v>
      </c>
      <c r="N115" t="str">
        <f>TRIM(MID(M115,FIND(",",M115,FIND(",",M115)+1)+1,FIND(",",M115,FIND(",",M115,FIND(",",M115)+1)+1)-FIND(",",M115,FIND(",",M115)+1)-1))</f>
        <v>Centro</v>
      </c>
    </row>
    <row r="116" spans="1:14" x14ac:dyDescent="0.3">
      <c r="A116">
        <v>115</v>
      </c>
      <c r="B116">
        <v>3</v>
      </c>
      <c r="D116" t="s">
        <v>347</v>
      </c>
      <c r="E116" t="s">
        <v>348</v>
      </c>
      <c r="F116">
        <v>6</v>
      </c>
      <c r="G116">
        <v>14</v>
      </c>
      <c r="J116" t="s">
        <v>351</v>
      </c>
      <c r="K116">
        <v>43.285566500000002</v>
      </c>
      <c r="L116">
        <v>13.6454205</v>
      </c>
      <c r="M116" t="s">
        <v>352</v>
      </c>
      <c r="N116" t="str">
        <f>TRIM(MID(M116,FIND(",",M116,FIND(",",M116)+1)+1,FIND(",",M116,FIND(",",M116,FIND(",",M116)+1)+1)-FIND(",",M116,FIND(",",M116)+1)-1))</f>
        <v>Montecosaro Scalo</v>
      </c>
    </row>
    <row r="117" spans="1:14" x14ac:dyDescent="0.3">
      <c r="A117">
        <v>116</v>
      </c>
      <c r="B117">
        <v>3</v>
      </c>
      <c r="D117" t="s">
        <v>353</v>
      </c>
      <c r="E117" t="s">
        <v>354</v>
      </c>
      <c r="F117">
        <v>25</v>
      </c>
      <c r="G117">
        <v>105</v>
      </c>
      <c r="J117" t="s">
        <v>355</v>
      </c>
      <c r="K117">
        <v>43.304541299999997</v>
      </c>
      <c r="L117">
        <v>13.717584</v>
      </c>
      <c r="M117" t="s">
        <v>356</v>
      </c>
      <c r="N117" t="str">
        <f>TRIM(MID(M117,FIND(",",M117,FIND(",",M117)+1)+1,FIND(",",M117,FIND(",",M117,FIND(",",M117)+1)+1)-FIND(",",M117,FIND(",",M117)+1)-1))</f>
        <v>San Giuseppe</v>
      </c>
    </row>
    <row r="118" spans="1:14" x14ac:dyDescent="0.3">
      <c r="A118">
        <v>117</v>
      </c>
      <c r="B118">
        <v>3</v>
      </c>
      <c r="D118" t="s">
        <v>353</v>
      </c>
      <c r="E118" t="s">
        <v>354</v>
      </c>
      <c r="F118">
        <v>2</v>
      </c>
      <c r="G118">
        <v>30</v>
      </c>
      <c r="J118" t="s">
        <v>357</v>
      </c>
      <c r="K118">
        <v>43.304674599999998</v>
      </c>
      <c r="L118">
        <v>13.718795</v>
      </c>
      <c r="M118" t="s">
        <v>358</v>
      </c>
      <c r="N118" t="str">
        <f>TRIM(MID(M118,FIND(",",M118,FIND(",",M118)+1)+1,FIND(",",M118,FIND(",",M118,FIND(",",M118)+1)+1)-FIND(",",M118,FIND(",",M118)+1)-1))</f>
        <v>San Giuseppe</v>
      </c>
    </row>
    <row r="119" spans="1:14" x14ac:dyDescent="0.3">
      <c r="A119">
        <v>118</v>
      </c>
      <c r="B119">
        <v>3</v>
      </c>
      <c r="D119" t="s">
        <v>359</v>
      </c>
      <c r="E119" t="s">
        <v>359</v>
      </c>
      <c r="F119" t="s">
        <v>22</v>
      </c>
      <c r="G119" t="s">
        <v>22</v>
      </c>
      <c r="J119" t="s">
        <v>360</v>
      </c>
      <c r="K119">
        <v>43.296518499999998</v>
      </c>
      <c r="L119">
        <v>13.448253299999999</v>
      </c>
      <c r="M119" t="s">
        <v>361</v>
      </c>
      <c r="N119" t="str">
        <f>TRIM(MID(M119,FIND(",",M119,FIND(",",M119)+1)+1,FIND(",",M119,FIND(",",M119,FIND(",",M119)+1)+1)-FIND(",",M119,FIND(",",M119)+1)-1))</f>
        <v>Macerata</v>
      </c>
    </row>
    <row r="120" spans="1:14" x14ac:dyDescent="0.3">
      <c r="A120">
        <v>119</v>
      </c>
      <c r="B120">
        <v>3</v>
      </c>
      <c r="D120" t="s">
        <v>362</v>
      </c>
      <c r="E120" t="s">
        <v>363</v>
      </c>
      <c r="F120">
        <v>11</v>
      </c>
      <c r="G120">
        <v>41</v>
      </c>
      <c r="J120" t="s">
        <v>364</v>
      </c>
      <c r="K120">
        <v>43.297524299999999</v>
      </c>
      <c r="L120">
        <v>13.451299799999999</v>
      </c>
      <c r="M120" t="s">
        <v>365</v>
      </c>
      <c r="N120" t="str">
        <f>TRIM(MID(M120,FIND(",",M120,FIND(",",M120)+1)+1,FIND(",",M120,FIND(",",M120,FIND(",",M120)+1)+1)-FIND(",",M120,FIND(",",M120)+1)-1))</f>
        <v>Macerata</v>
      </c>
    </row>
    <row r="121" spans="1:14" x14ac:dyDescent="0.3">
      <c r="A121">
        <v>120</v>
      </c>
      <c r="B121">
        <v>3</v>
      </c>
      <c r="D121" t="s">
        <v>362</v>
      </c>
      <c r="E121" t="s">
        <v>363</v>
      </c>
      <c r="F121">
        <v>54</v>
      </c>
      <c r="G121">
        <v>66</v>
      </c>
      <c r="J121" t="s">
        <v>366</v>
      </c>
      <c r="K121">
        <v>43.297524299999999</v>
      </c>
      <c r="L121">
        <v>13.451299799999999</v>
      </c>
      <c r="M121" t="s">
        <v>365</v>
      </c>
      <c r="N121" t="str">
        <f>TRIM(MID(M121,FIND(",",M121,FIND(",",M121)+1)+1,FIND(",",M121,FIND(",",M121,FIND(",",M121)+1)+1)-FIND(",",M121,FIND(",",M121)+1)-1))</f>
        <v>Macerata</v>
      </c>
    </row>
    <row r="122" spans="1:14" x14ac:dyDescent="0.3">
      <c r="A122">
        <v>121</v>
      </c>
      <c r="B122">
        <v>4</v>
      </c>
      <c r="D122" t="s">
        <v>367</v>
      </c>
      <c r="E122" t="s">
        <v>367</v>
      </c>
      <c r="F122" t="s">
        <v>22</v>
      </c>
      <c r="G122" t="s">
        <v>22</v>
      </c>
      <c r="J122" t="s">
        <v>368</v>
      </c>
      <c r="K122">
        <v>43.293230899999998</v>
      </c>
      <c r="L122">
        <v>13.4467298</v>
      </c>
      <c r="M122" t="s">
        <v>369</v>
      </c>
      <c r="N122" t="str">
        <f>TRIM(MID(M122,FIND(",",M122,FIND(",",M122)+1)+1,FIND(",",M122,FIND(",",M122,FIND(",",M122)+1)+1)-FIND(",",M122,FIND(",",M122)+1)-1))</f>
        <v>Macerata</v>
      </c>
    </row>
    <row r="123" spans="1:14" x14ac:dyDescent="0.3">
      <c r="A123">
        <v>122</v>
      </c>
      <c r="B123">
        <v>4</v>
      </c>
      <c r="D123" t="s">
        <v>370</v>
      </c>
      <c r="E123" t="s">
        <v>370</v>
      </c>
      <c r="F123" t="s">
        <v>22</v>
      </c>
      <c r="G123" t="s">
        <v>22</v>
      </c>
      <c r="J123" t="s">
        <v>371</v>
      </c>
      <c r="K123">
        <v>43.293757999999997</v>
      </c>
      <c r="L123">
        <v>13.4492745</v>
      </c>
      <c r="M123" t="s">
        <v>372</v>
      </c>
      <c r="N123" t="str">
        <f>TRIM(MID(M123,FIND(",",M123,FIND(",",M123)+1)+1,FIND(",",M123,FIND(",",M123,FIND(",",M123)+1)+1)-FIND(",",M123,FIND(",",M123)+1)-1))</f>
        <v>Macerata</v>
      </c>
    </row>
    <row r="124" spans="1:14" x14ac:dyDescent="0.3">
      <c r="A124">
        <v>123</v>
      </c>
      <c r="B124">
        <v>4</v>
      </c>
      <c r="D124" t="s">
        <v>373</v>
      </c>
      <c r="E124" t="s">
        <v>374</v>
      </c>
      <c r="F124">
        <v>43</v>
      </c>
      <c r="G124">
        <v>49</v>
      </c>
      <c r="J124" t="s">
        <v>375</v>
      </c>
      <c r="K124">
        <v>43.292963200000003</v>
      </c>
      <c r="L124">
        <v>13.446484</v>
      </c>
      <c r="M124" t="s">
        <v>376</v>
      </c>
      <c r="N124" t="str">
        <f>TRIM(MID(M124,FIND(",",M124,FIND(",",M124)+1)+1,FIND(",",M124,FIND(",",M124,FIND(",",M124)+1)+1)-FIND(",",M124,FIND(",",M124)+1)-1))</f>
        <v>Macerata</v>
      </c>
    </row>
    <row r="125" spans="1:14" x14ac:dyDescent="0.3">
      <c r="A125">
        <v>124</v>
      </c>
      <c r="B125">
        <v>4</v>
      </c>
      <c r="D125" t="s">
        <v>373</v>
      </c>
      <c r="E125" t="s">
        <v>374</v>
      </c>
      <c r="F125">
        <v>28</v>
      </c>
      <c r="G125">
        <v>52</v>
      </c>
      <c r="J125" t="s">
        <v>377</v>
      </c>
      <c r="K125">
        <v>43.292963200000003</v>
      </c>
      <c r="L125">
        <v>13.446484</v>
      </c>
      <c r="M125" t="s">
        <v>376</v>
      </c>
      <c r="N125" t="str">
        <f>TRIM(MID(M125,FIND(",",M125,FIND(",",M125)+1)+1,FIND(",",M125,FIND(",",M125,FIND(",",M125)+1)+1)-FIND(",",M125,FIND(",",M125)+1)-1))</f>
        <v>Macerata</v>
      </c>
    </row>
    <row r="126" spans="1:14" x14ac:dyDescent="0.3">
      <c r="A126">
        <v>125</v>
      </c>
      <c r="B126">
        <v>4</v>
      </c>
      <c r="D126" t="s">
        <v>378</v>
      </c>
      <c r="E126" t="s">
        <v>378</v>
      </c>
      <c r="F126" t="s">
        <v>22</v>
      </c>
      <c r="G126" t="s">
        <v>22</v>
      </c>
      <c r="J126" t="s">
        <v>379</v>
      </c>
      <c r="K126">
        <v>43.294696399999999</v>
      </c>
      <c r="L126">
        <v>13.4465637</v>
      </c>
      <c r="M126" t="s">
        <v>380</v>
      </c>
      <c r="N126" t="str">
        <f>TRIM(MID(M126,FIND(",",M126,FIND(",",M126)+1)+1,FIND(",",M126,FIND(",",M126,FIND(",",M126)+1)+1)-FIND(",",M126,FIND(",",M126)+1)-1))</f>
        <v>Macerata</v>
      </c>
    </row>
    <row r="127" spans="1:14" x14ac:dyDescent="0.3">
      <c r="A127">
        <v>126</v>
      </c>
      <c r="B127">
        <v>4</v>
      </c>
      <c r="D127" t="s">
        <v>381</v>
      </c>
      <c r="E127" t="s">
        <v>382</v>
      </c>
      <c r="F127">
        <v>54</v>
      </c>
      <c r="G127">
        <v>82</v>
      </c>
      <c r="J127" t="s">
        <v>383</v>
      </c>
      <c r="K127">
        <v>43.293571700000001</v>
      </c>
      <c r="L127">
        <v>13.445007499999999</v>
      </c>
      <c r="M127" t="s">
        <v>384</v>
      </c>
      <c r="N127" t="str">
        <f>TRIM(MID(M127,FIND(",",M127,FIND(",",M127)+1)+1,FIND(",",M127,FIND(",",M127,FIND(",",M127)+1)+1)-FIND(",",M127,FIND(",",M127)+1)-1))</f>
        <v>Macerata</v>
      </c>
    </row>
    <row r="128" spans="1:14" x14ac:dyDescent="0.3">
      <c r="A128">
        <v>127</v>
      </c>
      <c r="B128">
        <v>4</v>
      </c>
      <c r="D128" t="s">
        <v>381</v>
      </c>
      <c r="E128" t="s">
        <v>382</v>
      </c>
      <c r="F128">
        <v>101</v>
      </c>
      <c r="G128">
        <v>103</v>
      </c>
      <c r="J128" t="s">
        <v>385</v>
      </c>
      <c r="K128">
        <v>43.293571700000001</v>
      </c>
      <c r="L128">
        <v>13.445007499999999</v>
      </c>
      <c r="M128" t="s">
        <v>384</v>
      </c>
      <c r="N128" t="str">
        <f>TRIM(MID(M128,FIND(",",M128,FIND(",",M128)+1)+1,FIND(",",M128,FIND(",",M128,FIND(",",M128)+1)+1)-FIND(",",M128,FIND(",",M128)+1)-1))</f>
        <v>Macerata</v>
      </c>
    </row>
    <row r="129" spans="1:14" x14ac:dyDescent="0.3">
      <c r="A129">
        <v>128</v>
      </c>
      <c r="B129">
        <v>4</v>
      </c>
      <c r="D129" t="s">
        <v>386</v>
      </c>
      <c r="E129" t="s">
        <v>386</v>
      </c>
      <c r="F129" t="s">
        <v>22</v>
      </c>
      <c r="G129" t="s">
        <v>22</v>
      </c>
      <c r="J129" t="s">
        <v>387</v>
      </c>
      <c r="K129">
        <v>43.294216300000002</v>
      </c>
      <c r="L129">
        <v>13.4479443</v>
      </c>
      <c r="M129" t="s">
        <v>388</v>
      </c>
      <c r="N129" t="str">
        <f>TRIM(MID(M129,FIND(",",M129,FIND(",",M129)+1)+1,FIND(",",M129,FIND(",",M129,FIND(",",M129)+1)+1)-FIND(",",M129,FIND(",",M129)+1)-1))</f>
        <v>Tribunale</v>
      </c>
    </row>
    <row r="130" spans="1:14" x14ac:dyDescent="0.3">
      <c r="A130">
        <v>129</v>
      </c>
      <c r="B130">
        <v>4</v>
      </c>
      <c r="D130" t="s">
        <v>389</v>
      </c>
      <c r="E130" t="s">
        <v>389</v>
      </c>
      <c r="F130" t="s">
        <v>22</v>
      </c>
      <c r="G130" t="s">
        <v>22</v>
      </c>
      <c r="J130" t="s">
        <v>390</v>
      </c>
      <c r="K130">
        <v>43.294779699999999</v>
      </c>
      <c r="L130">
        <v>13.4489299</v>
      </c>
      <c r="M130" t="s">
        <v>391</v>
      </c>
      <c r="N130" t="str">
        <f>TRIM(MID(M130,FIND(",",M130,FIND(",",M130)+1)+1,FIND(",",M130,FIND(",",M130,FIND(",",M130)+1)+1)-FIND(",",M130,FIND(",",M130)+1)-1))</f>
        <v>Macerata</v>
      </c>
    </row>
    <row r="131" spans="1:14" x14ac:dyDescent="0.3">
      <c r="A131">
        <v>130</v>
      </c>
      <c r="B131">
        <v>4</v>
      </c>
      <c r="D131" t="s">
        <v>392</v>
      </c>
      <c r="E131" t="s">
        <v>393</v>
      </c>
      <c r="F131">
        <v>2</v>
      </c>
      <c r="G131">
        <v>62</v>
      </c>
      <c r="J131" t="s">
        <v>394</v>
      </c>
      <c r="N131" t="e">
        <f>TRIM(MID(M131,FIND(",",M131,FIND(",",M131)+1)+1,FIND(",",M131,FIND(",",M131,FIND(",",M131)+1)+1)-FIND(",",M131,FIND(",",M131)+1)-1))</f>
        <v>#VALUE!</v>
      </c>
    </row>
    <row r="132" spans="1:14" x14ac:dyDescent="0.3">
      <c r="A132">
        <v>131</v>
      </c>
      <c r="B132">
        <v>4</v>
      </c>
      <c r="D132" t="s">
        <v>395</v>
      </c>
      <c r="E132" t="s">
        <v>396</v>
      </c>
      <c r="F132">
        <v>1</v>
      </c>
      <c r="G132">
        <v>9</v>
      </c>
      <c r="J132" t="s">
        <v>397</v>
      </c>
      <c r="K132">
        <v>43.295260399999997</v>
      </c>
      <c r="L132">
        <v>13.4458743</v>
      </c>
      <c r="M132" t="s">
        <v>398</v>
      </c>
      <c r="N132" t="str">
        <f>TRIM(MID(M132,FIND(",",M132,FIND(",",M132)+1)+1,FIND(",",M132,FIND(",",M132,FIND(",",M132)+1)+1)-FIND(",",M132,FIND(",",M132)+1)-1))</f>
        <v>Macerata</v>
      </c>
    </row>
    <row r="133" spans="1:14" x14ac:dyDescent="0.3">
      <c r="A133">
        <v>132</v>
      </c>
      <c r="B133">
        <v>4</v>
      </c>
      <c r="D133" t="s">
        <v>395</v>
      </c>
      <c r="E133" t="s">
        <v>396</v>
      </c>
      <c r="F133">
        <v>2</v>
      </c>
      <c r="G133">
        <v>2</v>
      </c>
      <c r="J133" t="s">
        <v>399</v>
      </c>
      <c r="K133">
        <v>43.295260399999997</v>
      </c>
      <c r="L133">
        <v>13.4458743</v>
      </c>
      <c r="M133" t="s">
        <v>398</v>
      </c>
      <c r="N133" t="str">
        <f>TRIM(MID(M133,FIND(",",M133,FIND(",",M133)+1)+1,FIND(",",M133,FIND(",",M133,FIND(",",M133)+1)+1)-FIND(",",M133,FIND(",",M133)+1)-1))</f>
        <v>Macerata</v>
      </c>
    </row>
    <row r="134" spans="1:14" x14ac:dyDescent="0.3">
      <c r="A134">
        <v>133</v>
      </c>
      <c r="B134">
        <v>4</v>
      </c>
      <c r="D134" t="s">
        <v>400</v>
      </c>
      <c r="E134" t="s">
        <v>348</v>
      </c>
      <c r="F134">
        <v>24</v>
      </c>
      <c r="G134">
        <v>24</v>
      </c>
      <c r="J134" t="s">
        <v>401</v>
      </c>
      <c r="K134">
        <v>43.295804599999997</v>
      </c>
      <c r="L134">
        <v>13.4451752</v>
      </c>
      <c r="M134" t="s">
        <v>402</v>
      </c>
      <c r="N134" t="str">
        <f>TRIM(MID(M134,FIND(",",M134,FIND(",",M134)+1)+1,FIND(",",M134,FIND(",",M134,FIND(",",M134)+1)+1)-FIND(",",M134,FIND(",",M134)+1)-1))</f>
        <v>Macerata</v>
      </c>
    </row>
    <row r="135" spans="1:14" x14ac:dyDescent="0.3">
      <c r="A135">
        <v>134</v>
      </c>
      <c r="B135">
        <v>4</v>
      </c>
      <c r="D135" t="s">
        <v>403</v>
      </c>
      <c r="E135" t="s">
        <v>354</v>
      </c>
      <c r="F135">
        <v>36</v>
      </c>
      <c r="G135">
        <v>104</v>
      </c>
      <c r="J135" t="s">
        <v>404</v>
      </c>
      <c r="K135">
        <v>43.3043008</v>
      </c>
      <c r="L135">
        <v>13.717565199999999</v>
      </c>
      <c r="M135" t="s">
        <v>405</v>
      </c>
      <c r="N135" t="str">
        <f>TRIM(MID(M135,FIND(",",M135,FIND(",",M135)+1)+1,FIND(",",M135,FIND(",",M135,FIND(",",M135)+1)+1)-FIND(",",M135,FIND(",",M135)+1)-1))</f>
        <v>San Giuseppe</v>
      </c>
    </row>
    <row r="136" spans="1:14" x14ac:dyDescent="0.3">
      <c r="A136">
        <v>135</v>
      </c>
      <c r="B136">
        <v>4</v>
      </c>
      <c r="D136" t="s">
        <v>406</v>
      </c>
      <c r="E136" t="s">
        <v>407</v>
      </c>
      <c r="F136">
        <v>20</v>
      </c>
      <c r="G136">
        <v>20</v>
      </c>
      <c r="J136" t="s">
        <v>408</v>
      </c>
      <c r="K136">
        <v>43.283030199999999</v>
      </c>
      <c r="L136">
        <v>13.6342196</v>
      </c>
      <c r="M136" t="s">
        <v>409</v>
      </c>
      <c r="N136" t="str">
        <f>TRIM(MID(M136,FIND(",",M136,FIND(",",M136)+1)+1,FIND(",",M136,FIND(",",M136,FIND(",",M136)+1)+1)-FIND(",",M136,FIND(",",M136)+1)-1))</f>
        <v>Località Casette</v>
      </c>
    </row>
    <row r="137" spans="1:14" x14ac:dyDescent="0.3">
      <c r="A137">
        <v>136</v>
      </c>
      <c r="B137">
        <v>4</v>
      </c>
      <c r="D137" t="s">
        <v>410</v>
      </c>
      <c r="E137" t="s">
        <v>410</v>
      </c>
      <c r="F137" t="s">
        <v>22</v>
      </c>
      <c r="G137" t="s">
        <v>22</v>
      </c>
      <c r="J137" t="s">
        <v>411</v>
      </c>
      <c r="K137">
        <v>43.292281799999998</v>
      </c>
      <c r="L137">
        <v>13.449897099999999</v>
      </c>
      <c r="M137" t="s">
        <v>412</v>
      </c>
      <c r="N137" t="str">
        <f>TRIM(MID(M137,FIND(",",M137,FIND(",",M137)+1)+1,FIND(",",M137,FIND(",",M137,FIND(",",M137)+1)+1)-FIND(",",M137,FIND(",",M137)+1)-1))</f>
        <v>Macerata</v>
      </c>
    </row>
    <row r="138" spans="1:14" x14ac:dyDescent="0.3">
      <c r="A138">
        <v>137</v>
      </c>
      <c r="B138">
        <v>5</v>
      </c>
      <c r="D138" t="s">
        <v>413</v>
      </c>
      <c r="E138" t="s">
        <v>414</v>
      </c>
      <c r="F138">
        <v>36</v>
      </c>
      <c r="G138">
        <v>36</v>
      </c>
      <c r="J138" t="s">
        <v>415</v>
      </c>
      <c r="N138" t="e">
        <f>TRIM(MID(M138,FIND(",",M138,FIND(",",M138)+1)+1,FIND(",",M138,FIND(",",M138,FIND(",",M138)+1)+1)-FIND(",",M138,FIND(",",M138)+1)-1))</f>
        <v>#VALUE!</v>
      </c>
    </row>
    <row r="139" spans="1:14" x14ac:dyDescent="0.3">
      <c r="A139">
        <v>138</v>
      </c>
      <c r="B139">
        <v>5</v>
      </c>
      <c r="D139" t="s">
        <v>416</v>
      </c>
      <c r="E139" t="s">
        <v>416</v>
      </c>
      <c r="F139" t="s">
        <v>22</v>
      </c>
      <c r="G139" t="s">
        <v>22</v>
      </c>
      <c r="J139" t="s">
        <v>417</v>
      </c>
      <c r="K139">
        <v>43.2934725</v>
      </c>
      <c r="L139">
        <v>13.442713100000001</v>
      </c>
      <c r="M139" t="s">
        <v>418</v>
      </c>
      <c r="N139" t="str">
        <f>TRIM(MID(M139,FIND(",",M139,FIND(",",M139)+1)+1,FIND(",",M139,FIND(",",M139,FIND(",",M139)+1)+1)-FIND(",",M139,FIND(",",M139)+1)-1))</f>
        <v>Macerata</v>
      </c>
    </row>
    <row r="140" spans="1:14" x14ac:dyDescent="0.3">
      <c r="A140">
        <v>139</v>
      </c>
      <c r="B140">
        <v>5</v>
      </c>
      <c r="D140" t="s">
        <v>419</v>
      </c>
      <c r="E140" t="s">
        <v>419</v>
      </c>
      <c r="F140" t="s">
        <v>22</v>
      </c>
      <c r="G140" t="s">
        <v>22</v>
      </c>
      <c r="J140" t="s">
        <v>420</v>
      </c>
      <c r="N140" t="e">
        <f>TRIM(MID(M140,FIND(",",M140,FIND(",",M140)+1)+1,FIND(",",M140,FIND(",",M140,FIND(",",M140)+1)+1)-FIND(",",M140,FIND(",",M140)+1)-1))</f>
        <v>#VALUE!</v>
      </c>
    </row>
    <row r="141" spans="1:14" x14ac:dyDescent="0.3">
      <c r="A141">
        <v>140</v>
      </c>
      <c r="B141">
        <v>5</v>
      </c>
      <c r="D141" t="s">
        <v>421</v>
      </c>
      <c r="E141" t="s">
        <v>374</v>
      </c>
      <c r="F141">
        <v>5</v>
      </c>
      <c r="G141">
        <v>37</v>
      </c>
      <c r="J141" t="s">
        <v>422</v>
      </c>
      <c r="K141">
        <v>43.293182199999997</v>
      </c>
      <c r="L141">
        <v>13.4462323</v>
      </c>
      <c r="M141" t="s">
        <v>376</v>
      </c>
      <c r="N141" t="str">
        <f>TRIM(MID(M141,FIND(",",M141,FIND(",",M141)+1)+1,FIND(",",M141,FIND(",",M141,FIND(",",M141)+1)+1)-FIND(",",M141,FIND(",",M141)+1)-1))</f>
        <v>Macerata</v>
      </c>
    </row>
    <row r="142" spans="1:14" x14ac:dyDescent="0.3">
      <c r="A142">
        <v>141</v>
      </c>
      <c r="B142">
        <v>5</v>
      </c>
      <c r="D142" t="s">
        <v>423</v>
      </c>
      <c r="E142" t="s">
        <v>382</v>
      </c>
      <c r="F142">
        <v>1</v>
      </c>
      <c r="G142">
        <v>71</v>
      </c>
      <c r="J142" t="s">
        <v>424</v>
      </c>
      <c r="K142">
        <v>43.293571700000001</v>
      </c>
      <c r="L142">
        <v>13.445007499999999</v>
      </c>
      <c r="M142" t="s">
        <v>384</v>
      </c>
      <c r="N142" t="str">
        <f>TRIM(MID(M142,FIND(",",M142,FIND(",",M142)+1)+1,FIND(",",M142,FIND(",",M142,FIND(",",M142)+1)+1)-FIND(",",M142,FIND(",",M142)+1)-1))</f>
        <v>Macerata</v>
      </c>
    </row>
    <row r="143" spans="1:14" x14ac:dyDescent="0.3">
      <c r="A143">
        <v>142</v>
      </c>
      <c r="B143">
        <v>5</v>
      </c>
      <c r="D143" t="s">
        <v>423</v>
      </c>
      <c r="E143" t="s">
        <v>382</v>
      </c>
      <c r="F143">
        <v>2</v>
      </c>
      <c r="G143">
        <v>34</v>
      </c>
      <c r="J143" t="s">
        <v>425</v>
      </c>
      <c r="K143">
        <v>43.294919899999996</v>
      </c>
      <c r="L143">
        <v>13.444358100000001</v>
      </c>
      <c r="M143" t="s">
        <v>426</v>
      </c>
      <c r="N143" t="str">
        <f>TRIM(MID(M143,FIND(",",M143,FIND(",",M143)+1)+1,FIND(",",M143,FIND(",",M143,FIND(",",M143)+1)+1)-FIND(",",M143,FIND(",",M143)+1)-1))</f>
        <v>Fonte Scodella</v>
      </c>
    </row>
    <row r="144" spans="1:14" x14ac:dyDescent="0.3">
      <c r="A144">
        <v>143</v>
      </c>
      <c r="B144">
        <v>5</v>
      </c>
      <c r="D144" t="s">
        <v>427</v>
      </c>
      <c r="E144" t="s">
        <v>393</v>
      </c>
      <c r="F144">
        <v>1</v>
      </c>
      <c r="G144">
        <v>83</v>
      </c>
      <c r="J144" t="s">
        <v>428</v>
      </c>
      <c r="N144" t="e">
        <f>TRIM(MID(M144,FIND(",",M144,FIND(",",M144)+1)+1,FIND(",",M144,FIND(",",M144,FIND(",",M144)+1)+1)-FIND(",",M144,FIND(",",M144)+1)-1))</f>
        <v>#VALUE!</v>
      </c>
    </row>
    <row r="145" spans="1:14" x14ac:dyDescent="0.3">
      <c r="A145">
        <v>144</v>
      </c>
      <c r="B145">
        <v>5</v>
      </c>
      <c r="D145" t="s">
        <v>427</v>
      </c>
      <c r="E145" t="s">
        <v>393</v>
      </c>
      <c r="F145">
        <v>4</v>
      </c>
      <c r="G145">
        <v>4</v>
      </c>
      <c r="J145" t="s">
        <v>429</v>
      </c>
      <c r="N145" t="e">
        <f>TRIM(MID(M145,FIND(",",M145,FIND(",",M145)+1)+1,FIND(",",M145,FIND(",",M145,FIND(",",M145)+1)+1)-FIND(",",M145,FIND(",",M145)+1)-1))</f>
        <v>#VALUE!</v>
      </c>
    </row>
    <row r="146" spans="1:14" x14ac:dyDescent="0.3">
      <c r="A146">
        <v>145</v>
      </c>
      <c r="B146">
        <v>5</v>
      </c>
      <c r="D146" t="s">
        <v>430</v>
      </c>
      <c r="E146" t="s">
        <v>396</v>
      </c>
      <c r="F146">
        <v>4</v>
      </c>
      <c r="G146">
        <v>8</v>
      </c>
      <c r="J146" t="s">
        <v>431</v>
      </c>
      <c r="K146">
        <v>43.295138000000001</v>
      </c>
      <c r="L146">
        <v>13.445327499999999</v>
      </c>
      <c r="M146" t="s">
        <v>432</v>
      </c>
      <c r="N146" t="str">
        <f>TRIM(MID(M146,FIND(",",M146,FIND(",",M146)+1)+1,FIND(",",M146,FIND(",",M146,FIND(",",M146)+1)+1)-FIND(",",M146,FIND(",",M146)+1)-1))</f>
        <v>Tribunale</v>
      </c>
    </row>
    <row r="147" spans="1:14" x14ac:dyDescent="0.3">
      <c r="A147">
        <v>146</v>
      </c>
      <c r="B147">
        <v>5</v>
      </c>
      <c r="D147" t="s">
        <v>433</v>
      </c>
      <c r="E147" t="s">
        <v>348</v>
      </c>
      <c r="F147">
        <v>39</v>
      </c>
      <c r="G147">
        <v>89</v>
      </c>
      <c r="J147" t="s">
        <v>434</v>
      </c>
      <c r="K147">
        <v>43.306169699999998</v>
      </c>
      <c r="L147">
        <v>13.731290100000001</v>
      </c>
      <c r="M147" t="s">
        <v>435</v>
      </c>
      <c r="N147" t="str">
        <f>TRIM(MID(M147,FIND(",",M147,FIND(",",M147)+1)+1,FIND(",",M147,FIND(",",M147,FIND(",",M147)+1)+1)-FIND(",",M147,FIND(",",M147)+1)-1))</f>
        <v>San Giuseppe</v>
      </c>
    </row>
    <row r="148" spans="1:14" x14ac:dyDescent="0.3">
      <c r="A148">
        <v>147</v>
      </c>
      <c r="B148">
        <v>5</v>
      </c>
      <c r="D148" t="s">
        <v>433</v>
      </c>
      <c r="E148" t="s">
        <v>348</v>
      </c>
      <c r="F148">
        <v>50</v>
      </c>
      <c r="G148">
        <v>66</v>
      </c>
      <c r="J148" t="s">
        <v>436</v>
      </c>
      <c r="K148">
        <v>43.295804599999997</v>
      </c>
      <c r="L148">
        <v>13.4451752</v>
      </c>
      <c r="M148" t="s">
        <v>402</v>
      </c>
      <c r="N148" t="str">
        <f>TRIM(MID(M148,FIND(",",M148,FIND(",",M148)+1)+1,FIND(",",M148,FIND(",",M148,FIND(",",M148)+1)+1)-FIND(",",M148,FIND(",",M148)+1)-1))</f>
        <v>Macerata</v>
      </c>
    </row>
    <row r="149" spans="1:14" x14ac:dyDescent="0.3">
      <c r="A149">
        <v>148</v>
      </c>
      <c r="B149">
        <v>5</v>
      </c>
      <c r="D149" t="s">
        <v>437</v>
      </c>
      <c r="E149" t="s">
        <v>437</v>
      </c>
      <c r="F149" t="s">
        <v>22</v>
      </c>
      <c r="G149" t="s">
        <v>22</v>
      </c>
      <c r="J149" t="s">
        <v>438</v>
      </c>
      <c r="K149">
        <v>43.297845199999998</v>
      </c>
      <c r="L149">
        <v>13.447212499999999</v>
      </c>
      <c r="M149" t="s">
        <v>439</v>
      </c>
      <c r="N149" t="str">
        <f>TRIM(MID(M149,FIND(",",M149,FIND(",",M149)+1)+1,FIND(",",M149,FIND(",",M149,FIND(",",M149)+1)+1)-FIND(",",M149,FIND(",",M149)+1)-1))</f>
        <v>Fonte Scodella</v>
      </c>
    </row>
    <row r="150" spans="1:14" x14ac:dyDescent="0.3">
      <c r="A150">
        <v>149</v>
      </c>
      <c r="B150">
        <v>5</v>
      </c>
      <c r="D150" t="s">
        <v>440</v>
      </c>
      <c r="E150" t="s">
        <v>440</v>
      </c>
      <c r="F150" t="s">
        <v>22</v>
      </c>
      <c r="G150" t="s">
        <v>22</v>
      </c>
      <c r="J150" t="s">
        <v>441</v>
      </c>
      <c r="K150">
        <v>43.2961831</v>
      </c>
      <c r="L150">
        <v>13.444172099999999</v>
      </c>
      <c r="M150" t="s">
        <v>442</v>
      </c>
      <c r="N150" t="str">
        <f>TRIM(MID(M150,FIND(",",M150,FIND(",",M150)+1)+1,FIND(",",M150,FIND(",",M150,FIND(",",M150)+1)+1)-FIND(",",M150,FIND(",",M150)+1)-1))</f>
        <v>Macerata</v>
      </c>
    </row>
    <row r="151" spans="1:14" x14ac:dyDescent="0.3">
      <c r="A151">
        <v>150</v>
      </c>
      <c r="B151">
        <v>6</v>
      </c>
      <c r="D151" t="s">
        <v>443</v>
      </c>
      <c r="E151" t="s">
        <v>443</v>
      </c>
      <c r="F151" t="s">
        <v>22</v>
      </c>
      <c r="G151" t="s">
        <v>22</v>
      </c>
      <c r="J151" t="s">
        <v>444</v>
      </c>
      <c r="K151">
        <v>43.301213099999998</v>
      </c>
      <c r="L151">
        <v>13.446257299999999</v>
      </c>
      <c r="M151" t="s">
        <v>445</v>
      </c>
      <c r="N151" t="str">
        <f>TRIM(MID(M151,FIND(",",M151,FIND(",",M151)+1)+1,FIND(",",M151,FIND(",",M151,FIND(",",M151)+1)+1)-FIND(",",M151,FIND(",",M151)+1)-1))</f>
        <v>Fonte Scodella</v>
      </c>
    </row>
    <row r="152" spans="1:14" x14ac:dyDescent="0.3">
      <c r="A152">
        <v>151</v>
      </c>
      <c r="B152">
        <v>6</v>
      </c>
      <c r="D152" t="s">
        <v>446</v>
      </c>
      <c r="E152" t="s">
        <v>446</v>
      </c>
      <c r="F152" t="s">
        <v>22</v>
      </c>
      <c r="G152" t="s">
        <v>22</v>
      </c>
      <c r="J152" t="s">
        <v>447</v>
      </c>
      <c r="K152">
        <v>43.301473999999999</v>
      </c>
      <c r="L152">
        <v>13.4410366</v>
      </c>
      <c r="M152" t="s">
        <v>448</v>
      </c>
      <c r="N152" t="str">
        <f>TRIM(MID(M152,FIND(",",M152,FIND(",",M152)+1)+1,FIND(",",M152,FIND(",",M152,FIND(",",M152)+1)+1)-FIND(",",M152,FIND(",",M152)+1)-1))</f>
        <v>Fonte Scodella</v>
      </c>
    </row>
    <row r="153" spans="1:14" x14ac:dyDescent="0.3">
      <c r="A153">
        <v>152</v>
      </c>
      <c r="B153">
        <v>6</v>
      </c>
      <c r="D153" t="s">
        <v>449</v>
      </c>
      <c r="E153" t="s">
        <v>450</v>
      </c>
      <c r="F153">
        <v>1</v>
      </c>
      <c r="G153">
        <v>19</v>
      </c>
      <c r="J153" t="s">
        <v>451</v>
      </c>
      <c r="K153">
        <v>43.250535200000002</v>
      </c>
      <c r="L153">
        <v>13.5127436</v>
      </c>
      <c r="M153" t="s">
        <v>452</v>
      </c>
      <c r="N153" t="str">
        <f>TRIM(MID(M153,FIND(",",M153,FIND(",",M153)+1)+1,FIND(",",M153,FIND(",",M153,FIND(",",M153)+1)+1)-FIND(",",M153,FIND(",",M153)+1)-1))</f>
        <v>Macerata</v>
      </c>
    </row>
    <row r="154" spans="1:14" x14ac:dyDescent="0.3">
      <c r="A154">
        <v>153</v>
      </c>
      <c r="B154">
        <v>6</v>
      </c>
      <c r="D154" t="s">
        <v>449</v>
      </c>
      <c r="E154" t="s">
        <v>450</v>
      </c>
      <c r="F154">
        <v>18</v>
      </c>
      <c r="G154">
        <v>18</v>
      </c>
      <c r="J154" t="s">
        <v>453</v>
      </c>
      <c r="K154">
        <v>43.250535200000002</v>
      </c>
      <c r="L154">
        <v>13.5127436</v>
      </c>
      <c r="M154" t="s">
        <v>452</v>
      </c>
      <c r="N154" t="str">
        <f>TRIM(MID(M154,FIND(",",M154,FIND(",",M154)+1)+1,FIND(",",M154,FIND(",",M154,FIND(",",M154)+1)+1)-FIND(",",M154,FIND(",",M154)+1)-1))</f>
        <v>Macerata</v>
      </c>
    </row>
    <row r="155" spans="1:14" x14ac:dyDescent="0.3">
      <c r="A155">
        <v>154</v>
      </c>
      <c r="B155">
        <v>6</v>
      </c>
      <c r="D155" t="s">
        <v>454</v>
      </c>
      <c r="E155" t="s">
        <v>454</v>
      </c>
      <c r="F155" t="s">
        <v>22</v>
      </c>
      <c r="G155" t="s">
        <v>22</v>
      </c>
      <c r="J155" t="s">
        <v>455</v>
      </c>
      <c r="K155">
        <v>43.301201200000001</v>
      </c>
      <c r="L155">
        <v>13.446334500000001</v>
      </c>
      <c r="M155" t="s">
        <v>456</v>
      </c>
      <c r="N155" t="str">
        <f>TRIM(MID(M155,FIND(",",M155,FIND(",",M155)+1)+1,FIND(",",M155,FIND(",",M155,FIND(",",M155)+1)+1)-FIND(",",M155,FIND(",",M155)+1)-1))</f>
        <v>Fonte Scodella</v>
      </c>
    </row>
    <row r="156" spans="1:14" x14ac:dyDescent="0.3">
      <c r="A156">
        <v>155</v>
      </c>
      <c r="B156">
        <v>6</v>
      </c>
      <c r="D156" t="s">
        <v>457</v>
      </c>
      <c r="E156" t="s">
        <v>215</v>
      </c>
      <c r="F156">
        <v>21</v>
      </c>
      <c r="G156">
        <v>21</v>
      </c>
      <c r="J156" t="s">
        <v>458</v>
      </c>
      <c r="K156">
        <v>43.299855600000001</v>
      </c>
      <c r="L156">
        <v>13.4449311</v>
      </c>
      <c r="M156" t="s">
        <v>217</v>
      </c>
      <c r="N156" t="str">
        <f>TRIM(MID(M156,FIND(",",M156,FIND(",",M156)+1)+1,FIND(",",M156,FIND(",",M156,FIND(",",M156)+1)+1)-FIND(",",M156,FIND(",",M156)+1)-1))</f>
        <v>Fonte Scodella</v>
      </c>
    </row>
    <row r="157" spans="1:14" x14ac:dyDescent="0.3">
      <c r="A157">
        <v>156</v>
      </c>
      <c r="B157">
        <v>6</v>
      </c>
      <c r="D157" t="s">
        <v>457</v>
      </c>
      <c r="E157" t="s">
        <v>215</v>
      </c>
      <c r="F157">
        <v>2</v>
      </c>
      <c r="G157">
        <v>2</v>
      </c>
      <c r="J157" t="s">
        <v>459</v>
      </c>
      <c r="K157">
        <v>43.299855600000001</v>
      </c>
      <c r="L157">
        <v>13.4449311</v>
      </c>
      <c r="M157" t="s">
        <v>217</v>
      </c>
      <c r="N157" t="str">
        <f>TRIM(MID(M157,FIND(",",M157,FIND(",",M157)+1)+1,FIND(",",M157,FIND(",",M157,FIND(",",M157)+1)+1)-FIND(",",M157,FIND(",",M157)+1)-1))</f>
        <v>Fonte Scodella</v>
      </c>
    </row>
    <row r="158" spans="1:14" x14ac:dyDescent="0.3">
      <c r="A158">
        <v>157</v>
      </c>
      <c r="B158">
        <v>6</v>
      </c>
      <c r="D158" t="s">
        <v>460</v>
      </c>
      <c r="E158" t="s">
        <v>460</v>
      </c>
      <c r="F158" t="s">
        <v>22</v>
      </c>
      <c r="G158" t="s">
        <v>22</v>
      </c>
      <c r="J158" t="s">
        <v>461</v>
      </c>
      <c r="K158">
        <v>43.301233799999999</v>
      </c>
      <c r="L158">
        <v>13.442983999999999</v>
      </c>
      <c r="M158" t="s">
        <v>462</v>
      </c>
      <c r="N158" t="str">
        <f>TRIM(MID(M158,FIND(",",M158,FIND(",",M158)+1)+1,FIND(",",M158,FIND(",",M158,FIND(",",M158)+1)+1)-FIND(",",M158,FIND(",",M158)+1)-1))</f>
        <v>Fonte Scodella</v>
      </c>
    </row>
    <row r="159" spans="1:14" x14ac:dyDescent="0.3">
      <c r="A159">
        <v>158</v>
      </c>
      <c r="B159">
        <v>6</v>
      </c>
      <c r="D159" t="s">
        <v>463</v>
      </c>
      <c r="E159" t="s">
        <v>463</v>
      </c>
      <c r="F159" t="s">
        <v>22</v>
      </c>
      <c r="G159" t="s">
        <v>22</v>
      </c>
      <c r="J159" t="s">
        <v>464</v>
      </c>
      <c r="K159">
        <v>43.300791400000001</v>
      </c>
      <c r="L159">
        <v>13.4443632</v>
      </c>
      <c r="M159" t="s">
        <v>465</v>
      </c>
      <c r="N159" t="str">
        <f>TRIM(MID(M159,FIND(",",M159,FIND(",",M159)+1)+1,FIND(",",M159,FIND(",",M159,FIND(",",M159)+1)+1)-FIND(",",M159,FIND(",",M159)+1)-1))</f>
        <v>Fonte Scodella</v>
      </c>
    </row>
    <row r="160" spans="1:14" x14ac:dyDescent="0.3">
      <c r="A160">
        <v>159</v>
      </c>
      <c r="B160">
        <v>6</v>
      </c>
      <c r="D160" t="s">
        <v>466</v>
      </c>
      <c r="E160" t="s">
        <v>248</v>
      </c>
      <c r="F160">
        <v>8</v>
      </c>
      <c r="G160">
        <v>22</v>
      </c>
      <c r="J160" t="s">
        <v>467</v>
      </c>
      <c r="K160">
        <v>43.2986638</v>
      </c>
      <c r="L160">
        <v>13.443898900000001</v>
      </c>
      <c r="M160" t="s">
        <v>250</v>
      </c>
      <c r="N160" t="str">
        <f>TRIM(MID(M160,FIND(",",M160,FIND(",",M160)+1)+1,FIND(",",M160,FIND(",",M160,FIND(",",M160)+1)+1)-FIND(",",M160,FIND(",",M160)+1)-1))</f>
        <v>Fonte Scodella</v>
      </c>
    </row>
    <row r="161" spans="1:14" x14ac:dyDescent="0.3">
      <c r="A161">
        <v>160</v>
      </c>
      <c r="B161">
        <v>6</v>
      </c>
      <c r="D161" t="s">
        <v>468</v>
      </c>
      <c r="E161" t="s">
        <v>468</v>
      </c>
      <c r="F161" t="s">
        <v>22</v>
      </c>
      <c r="G161" t="s">
        <v>22</v>
      </c>
      <c r="J161" t="s">
        <v>469</v>
      </c>
      <c r="K161">
        <v>43.301113899999997</v>
      </c>
      <c r="L161">
        <v>13.441896</v>
      </c>
      <c r="M161" t="s">
        <v>470</v>
      </c>
      <c r="N161" t="str">
        <f>TRIM(MID(M161,FIND(",",M161,FIND(",",M161)+1)+1,FIND(",",M161,FIND(",",M161,FIND(",",M161)+1)+1)-FIND(",",M161,FIND(",",M161)+1)-1))</f>
        <v>Fonte Scodella</v>
      </c>
    </row>
    <row r="162" spans="1:14" x14ac:dyDescent="0.3">
      <c r="A162">
        <v>161</v>
      </c>
      <c r="B162">
        <v>6</v>
      </c>
      <c r="D162" t="s">
        <v>471</v>
      </c>
      <c r="E162" t="s">
        <v>471</v>
      </c>
      <c r="F162" t="s">
        <v>22</v>
      </c>
      <c r="G162" t="s">
        <v>22</v>
      </c>
      <c r="J162" t="s">
        <v>472</v>
      </c>
      <c r="K162">
        <v>43.297814600000002</v>
      </c>
      <c r="L162">
        <v>13.4433258</v>
      </c>
      <c r="M162" t="s">
        <v>473</v>
      </c>
      <c r="N162" t="str">
        <f>TRIM(MID(M162,FIND(",",M162,FIND(",",M162)+1)+1,FIND(",",M162,FIND(",",M162,FIND(",",M162)+1)+1)-FIND(",",M162,FIND(",",M162)+1)-1))</f>
        <v>Macerata</v>
      </c>
    </row>
    <row r="163" spans="1:14" x14ac:dyDescent="0.3">
      <c r="A163">
        <v>162</v>
      </c>
      <c r="B163">
        <v>6</v>
      </c>
      <c r="D163" t="s">
        <v>474</v>
      </c>
      <c r="E163" t="s">
        <v>474</v>
      </c>
      <c r="F163" t="s">
        <v>22</v>
      </c>
      <c r="G163" t="s">
        <v>22</v>
      </c>
      <c r="J163" t="s">
        <v>475</v>
      </c>
      <c r="K163">
        <v>43.248925</v>
      </c>
      <c r="L163">
        <v>13.506695300000001</v>
      </c>
      <c r="M163" t="s">
        <v>476</v>
      </c>
      <c r="N163" t="str">
        <f>TRIM(MID(M163,FIND(",",M163,FIND(",",M163)+1)+1,FIND(",",M163,FIND(",",M163,FIND(",",M163)+1)+1)-FIND(",",M163,FIND(",",M163)+1)-1))</f>
        <v>Macerata</v>
      </c>
    </row>
    <row r="164" spans="1:14" x14ac:dyDescent="0.3">
      <c r="A164">
        <v>163</v>
      </c>
      <c r="B164">
        <v>6</v>
      </c>
      <c r="D164" t="s">
        <v>477</v>
      </c>
      <c r="E164" t="s">
        <v>270</v>
      </c>
      <c r="F164">
        <v>14</v>
      </c>
      <c r="G164">
        <v>30</v>
      </c>
      <c r="J164" t="s">
        <v>478</v>
      </c>
      <c r="K164">
        <v>43.298063300000003</v>
      </c>
      <c r="L164">
        <v>13.4437429</v>
      </c>
      <c r="M164" t="s">
        <v>272</v>
      </c>
      <c r="N164" t="str">
        <f>TRIM(MID(M164,FIND(",",M164,FIND(",",M164)+1)+1,FIND(",",M164,FIND(",",M164,FIND(",",M164)+1)+1)-FIND(",",M164,FIND(",",M164)+1)-1))</f>
        <v>Macerata</v>
      </c>
    </row>
    <row r="165" spans="1:14" x14ac:dyDescent="0.3">
      <c r="A165">
        <v>164</v>
      </c>
      <c r="B165">
        <v>6</v>
      </c>
      <c r="D165" t="s">
        <v>477</v>
      </c>
      <c r="E165" t="s">
        <v>270</v>
      </c>
      <c r="F165">
        <v>1</v>
      </c>
      <c r="G165">
        <v>27</v>
      </c>
      <c r="J165" t="s">
        <v>479</v>
      </c>
      <c r="K165">
        <v>43.298063300000003</v>
      </c>
      <c r="L165">
        <v>13.4437429</v>
      </c>
      <c r="M165" t="s">
        <v>272</v>
      </c>
      <c r="N165" t="str">
        <f>TRIM(MID(M165,FIND(",",M165,FIND(",",M165)+1)+1,FIND(",",M165,FIND(",",M165,FIND(",",M165)+1)+1)-FIND(",",M165,FIND(",",M165)+1)-1))</f>
        <v>Macerata</v>
      </c>
    </row>
    <row r="166" spans="1:14" x14ac:dyDescent="0.3">
      <c r="A166">
        <v>165</v>
      </c>
      <c r="B166">
        <v>6</v>
      </c>
      <c r="D166" t="s">
        <v>480</v>
      </c>
      <c r="E166" t="s">
        <v>480</v>
      </c>
      <c r="F166" t="s">
        <v>22</v>
      </c>
      <c r="G166" t="s">
        <v>22</v>
      </c>
      <c r="J166" t="s">
        <v>481</v>
      </c>
      <c r="K166">
        <v>43.301586999999998</v>
      </c>
      <c r="L166">
        <v>13.4465653</v>
      </c>
      <c r="M166" t="s">
        <v>482</v>
      </c>
      <c r="N166" t="str">
        <f>TRIM(MID(M166,FIND(",",M166,FIND(",",M166)+1)+1,FIND(",",M166,FIND(",",M166,FIND(",",M166)+1)+1)-FIND(",",M166,FIND(",",M166)+1)-1))</f>
        <v>Fonte Scodella</v>
      </c>
    </row>
    <row r="167" spans="1:14" x14ac:dyDescent="0.3">
      <c r="A167">
        <v>166</v>
      </c>
      <c r="B167">
        <v>6</v>
      </c>
      <c r="D167" t="s">
        <v>483</v>
      </c>
      <c r="E167" t="s">
        <v>483</v>
      </c>
      <c r="F167" t="s">
        <v>22</v>
      </c>
      <c r="G167" t="s">
        <v>22</v>
      </c>
      <c r="J167" t="s">
        <v>484</v>
      </c>
      <c r="K167">
        <v>43.2994238</v>
      </c>
      <c r="L167">
        <v>13.443403500000001</v>
      </c>
      <c r="M167" t="s">
        <v>485</v>
      </c>
      <c r="N167" t="str">
        <f>TRIM(MID(M167,FIND(",",M167,FIND(",",M167)+1)+1,FIND(",",M167,FIND(",",M167,FIND(",",M167)+1)+1)-FIND(",",M167,FIND(",",M167)+1)-1))</f>
        <v>Fonte Scodella</v>
      </c>
    </row>
    <row r="168" spans="1:14" x14ac:dyDescent="0.3">
      <c r="A168">
        <v>167</v>
      </c>
      <c r="B168">
        <v>6</v>
      </c>
      <c r="D168" t="s">
        <v>486</v>
      </c>
      <c r="E168" t="s">
        <v>486</v>
      </c>
      <c r="F168" t="s">
        <v>22</v>
      </c>
      <c r="G168" t="s">
        <v>22</v>
      </c>
      <c r="J168" t="s">
        <v>487</v>
      </c>
      <c r="K168">
        <v>43.320424500000001</v>
      </c>
      <c r="L168">
        <v>13.6812997</v>
      </c>
      <c r="M168" t="s">
        <v>488</v>
      </c>
      <c r="N168" t="str">
        <f>TRIM(MID(M168,FIND(",",M168,FIND(",",M168)+1)+1,FIND(",",M168,FIND(",",M168,FIND(",",M168)+1)+1)-FIND(",",M168,FIND(",",M168)+1)-1))</f>
        <v>Civitanova Alta</v>
      </c>
    </row>
    <row r="169" spans="1:14" x14ac:dyDescent="0.3">
      <c r="A169">
        <v>168</v>
      </c>
      <c r="B169">
        <v>7</v>
      </c>
      <c r="D169" t="s">
        <v>489</v>
      </c>
      <c r="E169" t="s">
        <v>490</v>
      </c>
      <c r="F169">
        <v>14</v>
      </c>
      <c r="G169">
        <v>68</v>
      </c>
      <c r="J169" t="s">
        <v>491</v>
      </c>
      <c r="K169">
        <v>43.302809400000001</v>
      </c>
      <c r="L169">
        <v>13.4402084</v>
      </c>
      <c r="M169" t="s">
        <v>492</v>
      </c>
      <c r="N169" t="str">
        <f>TRIM(MID(M169,FIND(",",M169,FIND(",",M169)+1)+1,FIND(",",M169,FIND(",",M169,FIND(",",M169)+1)+1)-FIND(",",M169,FIND(",",M169)+1)-1))</f>
        <v>Tre Vie</v>
      </c>
    </row>
    <row r="170" spans="1:14" x14ac:dyDescent="0.3">
      <c r="A170">
        <v>169</v>
      </c>
      <c r="B170">
        <v>7</v>
      </c>
      <c r="D170" t="s">
        <v>493</v>
      </c>
      <c r="E170" t="s">
        <v>494</v>
      </c>
      <c r="F170">
        <v>41</v>
      </c>
      <c r="G170">
        <v>77</v>
      </c>
      <c r="J170" t="s">
        <v>495</v>
      </c>
      <c r="K170">
        <v>43.3043081</v>
      </c>
      <c r="L170">
        <v>13.438730400000001</v>
      </c>
      <c r="M170" t="s">
        <v>496</v>
      </c>
      <c r="N170" t="str">
        <f>TRIM(MID(M170,FIND(",",M170,FIND(",",M170)+1)+1,FIND(",",M170,FIND(",",M170,FIND(",",M170)+1)+1)-FIND(",",M170,FIND(",",M170)+1)-1))</f>
        <v>Santa Croce</v>
      </c>
    </row>
    <row r="171" spans="1:14" x14ac:dyDescent="0.3">
      <c r="A171">
        <v>170</v>
      </c>
      <c r="B171">
        <v>7</v>
      </c>
      <c r="D171" t="s">
        <v>493</v>
      </c>
      <c r="E171" t="s">
        <v>494</v>
      </c>
      <c r="F171">
        <v>4</v>
      </c>
      <c r="G171">
        <v>196</v>
      </c>
      <c r="J171" t="s">
        <v>497</v>
      </c>
      <c r="K171">
        <v>43.304116100000002</v>
      </c>
      <c r="L171">
        <v>13.438538100000001</v>
      </c>
      <c r="M171" t="s">
        <v>498</v>
      </c>
      <c r="N171" t="str">
        <f>TRIM(MID(M171,FIND(",",M171,FIND(",",M171)+1)+1,FIND(",",M171,FIND(",",M171,FIND(",",M171)+1)+1)-FIND(",",M171,FIND(",",M171)+1)-1))</f>
        <v>Via Due Fonti</v>
      </c>
    </row>
    <row r="172" spans="1:14" x14ac:dyDescent="0.3">
      <c r="A172">
        <v>171</v>
      </c>
      <c r="B172">
        <v>7</v>
      </c>
      <c r="D172" t="s">
        <v>499</v>
      </c>
      <c r="E172" t="s">
        <v>500</v>
      </c>
      <c r="F172">
        <v>11</v>
      </c>
      <c r="G172">
        <v>257</v>
      </c>
      <c r="J172" t="s">
        <v>501</v>
      </c>
      <c r="K172">
        <v>43.302461299999997</v>
      </c>
      <c r="L172">
        <v>13.4405462</v>
      </c>
      <c r="M172" t="s">
        <v>502</v>
      </c>
      <c r="N172" t="str">
        <f>TRIM(MID(M172,FIND(",",M172,FIND(",",M172)+1)+1,FIND(",",M172,FIND(",",M172,FIND(",",M172)+1)+1)-FIND(",",M172,FIND(",",M172)+1)-1))</f>
        <v>Tre Vie</v>
      </c>
    </row>
    <row r="173" spans="1:14" x14ac:dyDescent="0.3">
      <c r="A173">
        <v>172</v>
      </c>
      <c r="B173">
        <v>7</v>
      </c>
      <c r="D173" t="s">
        <v>499</v>
      </c>
      <c r="E173" t="s">
        <v>500</v>
      </c>
      <c r="F173">
        <v>120</v>
      </c>
      <c r="G173">
        <v>126</v>
      </c>
      <c r="J173" t="s">
        <v>503</v>
      </c>
      <c r="K173">
        <v>43.3057613</v>
      </c>
      <c r="L173">
        <v>13.417805700000001</v>
      </c>
      <c r="M173" t="s">
        <v>504</v>
      </c>
      <c r="N173" t="str">
        <f>TRIM(MID(M173,FIND(",",M173,FIND(",",M173)+1)+1,FIND(",",M173,FIND(",",M173,FIND(",",M173)+1)+1)-FIND(",",M173,FIND(",",M173)+1)-1))</f>
        <v>Macerata</v>
      </c>
    </row>
    <row r="174" spans="1:14" x14ac:dyDescent="0.3">
      <c r="A174">
        <v>173</v>
      </c>
      <c r="B174">
        <v>8</v>
      </c>
      <c r="D174" t="s">
        <v>505</v>
      </c>
      <c r="E174" t="s">
        <v>494</v>
      </c>
      <c r="F174">
        <v>1</v>
      </c>
      <c r="G174">
        <v>29</v>
      </c>
      <c r="J174" t="s">
        <v>506</v>
      </c>
      <c r="K174">
        <v>43.3043081</v>
      </c>
      <c r="L174">
        <v>13.438730400000001</v>
      </c>
      <c r="M174" t="s">
        <v>496</v>
      </c>
      <c r="N174" t="str">
        <f>TRIM(MID(M174,FIND(",",M174,FIND(",",M174)+1)+1,FIND(",",M174,FIND(",",M174,FIND(",",M174)+1)+1)-FIND(",",M174,FIND(",",M174)+1)-1))</f>
        <v>Santa Croce</v>
      </c>
    </row>
    <row r="175" spans="1:14" x14ac:dyDescent="0.3">
      <c r="A175">
        <v>174</v>
      </c>
      <c r="B175">
        <v>8</v>
      </c>
      <c r="D175" t="s">
        <v>507</v>
      </c>
      <c r="E175" t="s">
        <v>507</v>
      </c>
      <c r="F175" t="s">
        <v>22</v>
      </c>
      <c r="G175" t="s">
        <v>22</v>
      </c>
      <c r="J175" t="s">
        <v>508</v>
      </c>
      <c r="K175">
        <v>43.306357300000002</v>
      </c>
      <c r="L175">
        <v>13.437217</v>
      </c>
      <c r="M175" t="s">
        <v>509</v>
      </c>
      <c r="N175" t="str">
        <f>TRIM(MID(M175,FIND(",",M175,FIND(",",M175)+1)+1,FIND(",",M175,FIND(",",M175,FIND(",",M175)+1)+1)-FIND(",",M175,FIND(",",M175)+1)-1))</f>
        <v>Santa Croce</v>
      </c>
    </row>
    <row r="176" spans="1:14" x14ac:dyDescent="0.3">
      <c r="A176">
        <v>175</v>
      </c>
      <c r="B176">
        <v>8</v>
      </c>
      <c r="D176" t="s">
        <v>510</v>
      </c>
      <c r="E176" t="s">
        <v>510</v>
      </c>
      <c r="F176" t="s">
        <v>22</v>
      </c>
      <c r="G176" t="s">
        <v>22</v>
      </c>
      <c r="J176" t="s">
        <v>511</v>
      </c>
      <c r="K176">
        <v>43.304871800000001</v>
      </c>
      <c r="L176">
        <v>13.434401599999999</v>
      </c>
      <c r="M176" t="s">
        <v>512</v>
      </c>
      <c r="N176" t="str">
        <f>TRIM(MID(M176,FIND(",",M176,FIND(",",M176)+1)+1,FIND(",",M176,FIND(",",M176,FIND(",",M176)+1)+1)-FIND(",",M176,FIND(",",M176)+1)-1))</f>
        <v>Santa Croce</v>
      </c>
    </row>
    <row r="177" spans="1:14" x14ac:dyDescent="0.3">
      <c r="A177">
        <v>176</v>
      </c>
      <c r="B177">
        <v>9</v>
      </c>
      <c r="D177" t="s">
        <v>513</v>
      </c>
      <c r="E177" t="s">
        <v>513</v>
      </c>
      <c r="F177" t="s">
        <v>22</v>
      </c>
      <c r="G177" t="s">
        <v>22</v>
      </c>
      <c r="J177" t="s">
        <v>514</v>
      </c>
      <c r="K177">
        <v>43.307195399999998</v>
      </c>
      <c r="L177">
        <v>13.440963</v>
      </c>
      <c r="M177" t="s">
        <v>515</v>
      </c>
      <c r="N177" t="str">
        <f>TRIM(MID(M177,FIND(",",M177,FIND(",",M177)+1)+1,FIND(",",M177,FIND(",",M177,FIND(",",M177)+1)+1)-FIND(",",M177,FIND(",",M177)+1)-1))</f>
        <v>Fonte Scodella</v>
      </c>
    </row>
    <row r="178" spans="1:14" x14ac:dyDescent="0.3">
      <c r="A178">
        <v>177</v>
      </c>
      <c r="B178">
        <v>9</v>
      </c>
      <c r="D178" t="s">
        <v>516</v>
      </c>
      <c r="E178" t="s">
        <v>490</v>
      </c>
      <c r="F178">
        <v>1</v>
      </c>
      <c r="G178">
        <v>269</v>
      </c>
      <c r="J178" t="s">
        <v>517</v>
      </c>
      <c r="K178">
        <v>43.310131900000002</v>
      </c>
      <c r="L178">
        <v>13.436020299999999</v>
      </c>
      <c r="M178" t="s">
        <v>518</v>
      </c>
      <c r="N178" t="str">
        <f>TRIM(MID(M178,FIND(",",M178,FIND(",",M178)+1)+1,FIND(",",M178,FIND(",",M178,FIND(",",M178)+1)+1)-FIND(",",M178,FIND(",",M178)+1)-1))</f>
        <v>Montanello</v>
      </c>
    </row>
    <row r="179" spans="1:14" x14ac:dyDescent="0.3">
      <c r="A179">
        <v>178</v>
      </c>
      <c r="B179">
        <v>9</v>
      </c>
      <c r="D179" t="s">
        <v>516</v>
      </c>
      <c r="E179" t="s">
        <v>490</v>
      </c>
      <c r="F179">
        <v>98</v>
      </c>
      <c r="G179">
        <v>210</v>
      </c>
      <c r="J179" t="s">
        <v>519</v>
      </c>
      <c r="K179">
        <v>43.310131900000002</v>
      </c>
      <c r="L179">
        <v>13.436020299999999</v>
      </c>
      <c r="M179" t="s">
        <v>518</v>
      </c>
      <c r="N179" t="str">
        <f>TRIM(MID(M179,FIND(",",M179,FIND(",",M179)+1)+1,FIND(",",M179,FIND(",",M179,FIND(",",M179)+1)+1)-FIND(",",M179,FIND(",",M179)+1)-1))</f>
        <v>Montanello</v>
      </c>
    </row>
    <row r="180" spans="1:14" x14ac:dyDescent="0.3">
      <c r="A180">
        <v>179</v>
      </c>
      <c r="B180">
        <v>9</v>
      </c>
      <c r="D180" t="s">
        <v>520</v>
      </c>
      <c r="E180" t="s">
        <v>107</v>
      </c>
      <c r="F180">
        <v>5</v>
      </c>
      <c r="G180">
        <v>33</v>
      </c>
      <c r="J180" t="s">
        <v>521</v>
      </c>
      <c r="K180">
        <v>43.408919400000002</v>
      </c>
      <c r="L180">
        <v>13.4314889</v>
      </c>
      <c r="M180" t="s">
        <v>522</v>
      </c>
      <c r="N180" t="str">
        <f>TRIM(MID(M180,FIND(",",M180,FIND(",",M180)+1)+1,FIND(",",M180,FIND(",",M180,FIND(",",M180)+1)+1)-FIND(",",M180,FIND(",",M180)+1)-1))</f>
        <v>Contrada Paganuccia</v>
      </c>
    </row>
    <row r="181" spans="1:14" x14ac:dyDescent="0.3">
      <c r="A181">
        <v>180</v>
      </c>
      <c r="B181">
        <v>10</v>
      </c>
      <c r="D181" t="s">
        <v>523</v>
      </c>
      <c r="E181" t="s">
        <v>523</v>
      </c>
      <c r="F181" t="s">
        <v>22</v>
      </c>
      <c r="G181" t="s">
        <v>22</v>
      </c>
      <c r="J181" t="s">
        <v>524</v>
      </c>
      <c r="K181">
        <v>43.350869199999998</v>
      </c>
      <c r="L181">
        <v>13.50376</v>
      </c>
      <c r="M181" t="s">
        <v>525</v>
      </c>
      <c r="N181" t="str">
        <f>TRIM(MID(M181,FIND(",",M181,FIND(",",M181)+1)+1,FIND(",",M181,FIND(",",M181,FIND(",",M181)+1)+1)-FIND(",",M181,FIND(",",M181)+1)-1))</f>
        <v>Macerata</v>
      </c>
    </row>
    <row r="182" spans="1:14" x14ac:dyDescent="0.3">
      <c r="A182">
        <v>181</v>
      </c>
      <c r="B182">
        <v>10</v>
      </c>
      <c r="D182" t="s">
        <v>526</v>
      </c>
      <c r="E182" t="s">
        <v>526</v>
      </c>
      <c r="F182" t="s">
        <v>22</v>
      </c>
      <c r="G182" t="s">
        <v>22</v>
      </c>
      <c r="J182" t="s">
        <v>527</v>
      </c>
      <c r="K182">
        <v>43.317062100000001</v>
      </c>
      <c r="L182">
        <v>13.462451700000001</v>
      </c>
      <c r="M182" t="s">
        <v>528</v>
      </c>
      <c r="N182" t="str">
        <f>TRIM(MID(M182,FIND(",",M182,FIND(",",M182)+1)+1,FIND(",",M182,FIND(",",M182,FIND(",",M182)+1)+1)-FIND(",",M182,FIND(",",M182)+1)-1))</f>
        <v>Macerata</v>
      </c>
    </row>
    <row r="183" spans="1:14" x14ac:dyDescent="0.3">
      <c r="A183">
        <v>182</v>
      </c>
      <c r="B183">
        <v>10</v>
      </c>
      <c r="D183" t="s">
        <v>529</v>
      </c>
      <c r="E183" t="s">
        <v>529</v>
      </c>
      <c r="F183" t="s">
        <v>22</v>
      </c>
      <c r="G183" t="s">
        <v>22</v>
      </c>
      <c r="J183" t="s">
        <v>530</v>
      </c>
      <c r="K183">
        <v>43.323879300000002</v>
      </c>
      <c r="L183">
        <v>13.458529199999999</v>
      </c>
      <c r="M183" t="s">
        <v>531</v>
      </c>
      <c r="N183" t="str">
        <f>TRIM(MID(M183,FIND(",",M183,FIND(",",M183)+1)+1,FIND(",",M183,FIND(",",M183,FIND(",",M183)+1)+1)-FIND(",",M183,FIND(",",M183)+1)-1))</f>
        <v>Macerata</v>
      </c>
    </row>
    <row r="184" spans="1:14" x14ac:dyDescent="0.3">
      <c r="A184">
        <v>183</v>
      </c>
      <c r="B184">
        <v>10</v>
      </c>
      <c r="D184" t="s">
        <v>532</v>
      </c>
      <c r="E184" t="s">
        <v>532</v>
      </c>
      <c r="F184" t="s">
        <v>22</v>
      </c>
      <c r="G184" t="s">
        <v>22</v>
      </c>
      <c r="J184" t="s">
        <v>533</v>
      </c>
      <c r="K184">
        <v>43.332982100000002</v>
      </c>
      <c r="L184">
        <v>13.4985923</v>
      </c>
      <c r="M184" t="s">
        <v>534</v>
      </c>
      <c r="N184" t="str">
        <f>TRIM(MID(M184,FIND(",",M184,FIND(",",M184)+1)+1,FIND(",",M184,FIND(",",M184,FIND(",",M184)+1)+1)-FIND(",",M184,FIND(",",M184)+1)-1))</f>
        <v>62010</v>
      </c>
    </row>
    <row r="185" spans="1:14" x14ac:dyDescent="0.3">
      <c r="A185">
        <v>184</v>
      </c>
      <c r="B185">
        <v>10</v>
      </c>
      <c r="D185" t="s">
        <v>535</v>
      </c>
      <c r="E185" t="s">
        <v>535</v>
      </c>
      <c r="F185" t="s">
        <v>22</v>
      </c>
      <c r="G185" t="s">
        <v>22</v>
      </c>
      <c r="J185" t="s">
        <v>536</v>
      </c>
      <c r="K185">
        <v>43.338902300000001</v>
      </c>
      <c r="L185">
        <v>13.4781479</v>
      </c>
      <c r="M185" t="s">
        <v>537</v>
      </c>
      <c r="N185" t="str">
        <f>TRIM(MID(M185,FIND(",",M185,FIND(",",M185)+1)+1,FIND(",",M185,FIND(",",M185,FIND(",",M185)+1)+1)-FIND(",",M185,FIND(",",M185)+1)-1))</f>
        <v>Macerata</v>
      </c>
    </row>
    <row r="186" spans="1:14" x14ac:dyDescent="0.3">
      <c r="A186">
        <v>185</v>
      </c>
      <c r="B186">
        <v>10</v>
      </c>
      <c r="D186" t="s">
        <v>538</v>
      </c>
      <c r="E186" t="s">
        <v>538</v>
      </c>
      <c r="F186" t="s">
        <v>22</v>
      </c>
      <c r="G186" t="s">
        <v>22</v>
      </c>
      <c r="J186" t="s">
        <v>539</v>
      </c>
      <c r="K186">
        <v>43.303852599999999</v>
      </c>
      <c r="L186">
        <v>13.452807099999999</v>
      </c>
      <c r="M186" t="s">
        <v>540</v>
      </c>
      <c r="N186" t="str">
        <f>TRIM(MID(M186,FIND(",",M186,FIND(",",M186)+1)+1,FIND(",",M186,FIND(",",M186,FIND(",",M186)+1)+1)-FIND(",",M186,FIND(",",M186)+1)-1))</f>
        <v>Macerata</v>
      </c>
    </row>
    <row r="187" spans="1:14" x14ac:dyDescent="0.3">
      <c r="A187">
        <v>186</v>
      </c>
      <c r="B187">
        <v>10</v>
      </c>
      <c r="D187" t="s">
        <v>541</v>
      </c>
      <c r="E187" t="s">
        <v>542</v>
      </c>
      <c r="F187">
        <v>33</v>
      </c>
      <c r="G187">
        <v>35</v>
      </c>
      <c r="J187" t="s">
        <v>543</v>
      </c>
      <c r="K187">
        <v>43.301429599999999</v>
      </c>
      <c r="L187">
        <v>13.4558179</v>
      </c>
      <c r="M187" t="s">
        <v>544</v>
      </c>
      <c r="N187" t="str">
        <f>TRIM(MID(M187,FIND(",",M187,FIND(",",M187)+1)+1,FIND(",",M187,FIND(",",M187,FIND(",",M187)+1)+1)-FIND(",",M187,FIND(",",M187)+1)-1))</f>
        <v>Macerata</v>
      </c>
    </row>
    <row r="188" spans="1:14" x14ac:dyDescent="0.3">
      <c r="A188">
        <v>187</v>
      </c>
      <c r="B188">
        <v>11</v>
      </c>
      <c r="D188" t="s">
        <v>545</v>
      </c>
      <c r="E188" t="s">
        <v>545</v>
      </c>
      <c r="F188" t="s">
        <v>22</v>
      </c>
      <c r="G188" t="s">
        <v>22</v>
      </c>
      <c r="J188" t="s">
        <v>546</v>
      </c>
      <c r="K188">
        <v>43.313184499999998</v>
      </c>
      <c r="L188">
        <v>13.4595486</v>
      </c>
      <c r="M188" t="s">
        <v>547</v>
      </c>
      <c r="N188" t="str">
        <f>TRIM(MID(M188,FIND(",",M188,FIND(",",M188)+1)+1,FIND(",",M188,FIND(",",M188,FIND(",",M188)+1)+1)-FIND(",",M188,FIND(",",M188)+1)-1))</f>
        <v>Macerata</v>
      </c>
    </row>
    <row r="189" spans="1:14" x14ac:dyDescent="0.3">
      <c r="A189">
        <v>188</v>
      </c>
      <c r="B189">
        <v>11</v>
      </c>
      <c r="D189" t="s">
        <v>548</v>
      </c>
      <c r="E189" t="s">
        <v>549</v>
      </c>
      <c r="F189">
        <v>7</v>
      </c>
      <c r="G189">
        <v>53</v>
      </c>
      <c r="J189" t="s">
        <v>550</v>
      </c>
      <c r="K189">
        <v>43.306012699999997</v>
      </c>
      <c r="L189">
        <v>13.460637800000001</v>
      </c>
      <c r="M189" t="s">
        <v>551</v>
      </c>
      <c r="N189" t="str">
        <f>TRIM(MID(M189,FIND(",",M189,FIND(",",M189)+1)+1,FIND(",",M189,FIND(",",M189,FIND(",",M189)+1)+1)-FIND(",",M189,FIND(",",M189)+1)-1))</f>
        <v>Macerata</v>
      </c>
    </row>
    <row r="190" spans="1:14" x14ac:dyDescent="0.3">
      <c r="A190">
        <v>189</v>
      </c>
      <c r="B190">
        <v>11</v>
      </c>
      <c r="D190" t="s">
        <v>552</v>
      </c>
      <c r="E190" t="s">
        <v>552</v>
      </c>
      <c r="F190" t="s">
        <v>22</v>
      </c>
      <c r="G190" t="s">
        <v>22</v>
      </c>
      <c r="J190" t="s">
        <v>553</v>
      </c>
      <c r="K190">
        <v>43.3092902</v>
      </c>
      <c r="L190">
        <v>13.462025199999999</v>
      </c>
      <c r="M190" t="s">
        <v>554</v>
      </c>
      <c r="N190" t="str">
        <f>TRIM(MID(M190,FIND(",",M190,FIND(",",M190)+1)+1,FIND(",",M190,FIND(",",M190,FIND(",",M190)+1)+1)-FIND(",",M190,FIND(",",M190)+1)-1))</f>
        <v>Macerata</v>
      </c>
    </row>
    <row r="191" spans="1:14" x14ac:dyDescent="0.3">
      <c r="A191">
        <v>190</v>
      </c>
      <c r="B191">
        <v>11</v>
      </c>
      <c r="D191" t="s">
        <v>555</v>
      </c>
      <c r="E191" t="s">
        <v>555</v>
      </c>
      <c r="F191" t="s">
        <v>22</v>
      </c>
      <c r="G191" t="s">
        <v>22</v>
      </c>
      <c r="J191" t="s">
        <v>556</v>
      </c>
      <c r="N191" t="e">
        <f>TRIM(MID(M191,FIND(",",M191,FIND(",",M191)+1)+1,FIND(",",M191,FIND(",",M191,FIND(",",M191)+1)+1)-FIND(",",M191,FIND(",",M191)+1)-1))</f>
        <v>#VALUE!</v>
      </c>
    </row>
    <row r="192" spans="1:14" x14ac:dyDescent="0.3">
      <c r="A192">
        <v>191</v>
      </c>
      <c r="B192">
        <v>11</v>
      </c>
      <c r="D192" t="s">
        <v>557</v>
      </c>
      <c r="E192" t="s">
        <v>557</v>
      </c>
      <c r="F192" t="s">
        <v>22</v>
      </c>
      <c r="G192" t="s">
        <v>22</v>
      </c>
      <c r="J192" t="s">
        <v>558</v>
      </c>
      <c r="K192">
        <v>43.311901599999999</v>
      </c>
      <c r="L192">
        <v>13.4648273</v>
      </c>
      <c r="M192" t="s">
        <v>559</v>
      </c>
      <c r="N192" t="str">
        <f>TRIM(MID(M192,FIND(",",M192,FIND(",",M192)+1)+1,FIND(",",M192,FIND(",",M192,FIND(",",M192)+1)+1)-FIND(",",M192,FIND(",",M192)+1)-1))</f>
        <v>Macerata</v>
      </c>
    </row>
    <row r="193" spans="1:14" x14ac:dyDescent="0.3">
      <c r="A193">
        <v>192</v>
      </c>
      <c r="B193">
        <v>11</v>
      </c>
      <c r="D193" t="s">
        <v>560</v>
      </c>
      <c r="E193" t="s">
        <v>560</v>
      </c>
      <c r="F193" t="s">
        <v>22</v>
      </c>
      <c r="G193" t="s">
        <v>22</v>
      </c>
      <c r="J193" t="s">
        <v>561</v>
      </c>
      <c r="K193">
        <v>43.311647800000003</v>
      </c>
      <c r="L193">
        <v>13.4626593</v>
      </c>
      <c r="M193" t="s">
        <v>562</v>
      </c>
      <c r="N193" t="str">
        <f>TRIM(MID(M193,FIND(",",M193,FIND(",",M193)+1)+1,FIND(",",M193,FIND(",",M193,FIND(",",M193)+1)+1)-FIND(",",M193,FIND(",",M193)+1)-1))</f>
        <v>Macerata</v>
      </c>
    </row>
    <row r="194" spans="1:14" x14ac:dyDescent="0.3">
      <c r="A194">
        <v>193</v>
      </c>
      <c r="B194">
        <v>11</v>
      </c>
      <c r="D194" t="s">
        <v>563</v>
      </c>
      <c r="E194" t="s">
        <v>564</v>
      </c>
      <c r="F194">
        <v>137</v>
      </c>
      <c r="G194">
        <v>283</v>
      </c>
      <c r="J194" t="s">
        <v>565</v>
      </c>
      <c r="K194">
        <v>43.302164599999998</v>
      </c>
      <c r="L194">
        <v>13.460089999999999</v>
      </c>
      <c r="M194" t="s">
        <v>566</v>
      </c>
      <c r="N194" t="str">
        <f>TRIM(MID(M194,FIND(",",M194,FIND(",",M194)+1)+1,FIND(",",M194,FIND(",",M194,FIND(",",M194)+1)+1)-FIND(",",M194,FIND(",",M194)+1)-1))</f>
        <v>Macerata</v>
      </c>
    </row>
    <row r="195" spans="1:14" x14ac:dyDescent="0.3">
      <c r="A195">
        <v>194</v>
      </c>
      <c r="B195">
        <v>11</v>
      </c>
      <c r="D195" t="s">
        <v>563</v>
      </c>
      <c r="E195" t="s">
        <v>564</v>
      </c>
      <c r="F195">
        <v>120</v>
      </c>
      <c r="G195">
        <v>308</v>
      </c>
      <c r="J195" t="s">
        <v>567</v>
      </c>
      <c r="K195">
        <v>43.302164599999998</v>
      </c>
      <c r="L195">
        <v>13.460089999999999</v>
      </c>
      <c r="M195" t="s">
        <v>566</v>
      </c>
      <c r="N195" t="str">
        <f>TRIM(MID(M195,FIND(",",M195,FIND(",",M195)+1)+1,FIND(",",M195,FIND(",",M195,FIND(",",M195)+1)+1)-FIND(",",M195,FIND(",",M195)+1)-1))</f>
        <v>Macerata</v>
      </c>
    </row>
    <row r="196" spans="1:14" x14ac:dyDescent="0.3">
      <c r="A196">
        <v>195</v>
      </c>
      <c r="B196">
        <v>11</v>
      </c>
      <c r="D196" t="s">
        <v>568</v>
      </c>
      <c r="E196" t="s">
        <v>568</v>
      </c>
      <c r="F196" t="s">
        <v>22</v>
      </c>
      <c r="G196" t="s">
        <v>22</v>
      </c>
      <c r="J196" t="s">
        <v>569</v>
      </c>
      <c r="K196">
        <v>43.312801100000001</v>
      </c>
      <c r="L196">
        <v>13.4638908</v>
      </c>
      <c r="M196" t="s">
        <v>570</v>
      </c>
      <c r="N196" t="str">
        <f>TRIM(MID(M196,FIND(",",M196,FIND(",",M196)+1)+1,FIND(",",M196,FIND(",",M196,FIND(",",M196)+1)+1)-FIND(",",M196,FIND(",",M196)+1)-1))</f>
        <v>Macerata</v>
      </c>
    </row>
    <row r="197" spans="1:14" x14ac:dyDescent="0.3">
      <c r="A197">
        <v>196</v>
      </c>
      <c r="B197">
        <v>11</v>
      </c>
      <c r="D197" t="s">
        <v>571</v>
      </c>
      <c r="E197" t="s">
        <v>571</v>
      </c>
      <c r="F197" t="s">
        <v>22</v>
      </c>
      <c r="G197" t="s">
        <v>22</v>
      </c>
      <c r="J197" t="s">
        <v>572</v>
      </c>
      <c r="K197">
        <v>43.307579599999997</v>
      </c>
      <c r="L197">
        <v>13.4610147</v>
      </c>
      <c r="M197" t="s">
        <v>573</v>
      </c>
      <c r="N197" t="str">
        <f>TRIM(MID(M197,FIND(",",M197,FIND(",",M197)+1)+1,FIND(",",M197,FIND(",",M197,FIND(",",M197)+1)+1)-FIND(",",M197,FIND(",",M197)+1)-1))</f>
        <v>Macerata</v>
      </c>
    </row>
    <row r="198" spans="1:14" x14ac:dyDescent="0.3">
      <c r="A198">
        <v>197</v>
      </c>
      <c r="B198">
        <v>11</v>
      </c>
      <c r="D198" t="s">
        <v>574</v>
      </c>
      <c r="E198" t="s">
        <v>574</v>
      </c>
      <c r="F198" t="s">
        <v>22</v>
      </c>
      <c r="G198" t="s">
        <v>22</v>
      </c>
      <c r="J198" t="s">
        <v>575</v>
      </c>
      <c r="K198">
        <v>43.309108000000002</v>
      </c>
      <c r="L198">
        <v>13.4630758</v>
      </c>
      <c r="M198" t="s">
        <v>576</v>
      </c>
      <c r="N198" t="str">
        <f>TRIM(MID(M198,FIND(",",M198,FIND(",",M198)+1)+1,FIND(",",M198,FIND(",",M198,FIND(",",M198)+1)+1)-FIND(",",M198,FIND(",",M198)+1)-1))</f>
        <v>Macerata</v>
      </c>
    </row>
    <row r="199" spans="1:14" x14ac:dyDescent="0.3">
      <c r="A199">
        <v>198</v>
      </c>
      <c r="B199">
        <v>11</v>
      </c>
      <c r="D199" t="s">
        <v>577</v>
      </c>
      <c r="E199" t="s">
        <v>577</v>
      </c>
      <c r="F199" t="s">
        <v>22</v>
      </c>
      <c r="G199" t="s">
        <v>22</v>
      </c>
      <c r="J199" t="s">
        <v>578</v>
      </c>
      <c r="K199">
        <v>43.307180799999998</v>
      </c>
      <c r="L199">
        <v>13.4626152</v>
      </c>
      <c r="M199" t="s">
        <v>579</v>
      </c>
      <c r="N199" t="str">
        <f>TRIM(MID(M199,FIND(",",M199,FIND(",",M199)+1)+1,FIND(",",M199,FIND(",",M199,FIND(",",M199)+1)+1)-FIND(",",M199,FIND(",",M199)+1)-1))</f>
        <v>Macerata</v>
      </c>
    </row>
    <row r="200" spans="1:14" x14ac:dyDescent="0.3">
      <c r="A200">
        <v>199</v>
      </c>
      <c r="B200">
        <v>11</v>
      </c>
      <c r="D200" t="s">
        <v>580</v>
      </c>
      <c r="E200" t="s">
        <v>580</v>
      </c>
      <c r="F200" t="s">
        <v>22</v>
      </c>
      <c r="G200" t="s">
        <v>22</v>
      </c>
      <c r="J200" t="s">
        <v>581</v>
      </c>
      <c r="K200">
        <v>43.307591000000002</v>
      </c>
      <c r="L200">
        <v>13.4627748</v>
      </c>
      <c r="M200" t="s">
        <v>582</v>
      </c>
      <c r="N200" t="str">
        <f>TRIM(MID(M200,FIND(",",M200,FIND(",",M200)+1)+1,FIND(",",M200,FIND(",",M200,FIND(",",M200)+1)+1)-FIND(",",M200,FIND(",",M200)+1)-1))</f>
        <v>Macerata</v>
      </c>
    </row>
    <row r="201" spans="1:14" x14ac:dyDescent="0.3">
      <c r="A201">
        <v>200</v>
      </c>
      <c r="B201">
        <v>11</v>
      </c>
      <c r="D201" t="s">
        <v>583</v>
      </c>
      <c r="E201" t="s">
        <v>583</v>
      </c>
      <c r="F201" t="s">
        <v>22</v>
      </c>
      <c r="G201" t="s">
        <v>22</v>
      </c>
      <c r="J201" t="s">
        <v>584</v>
      </c>
      <c r="K201">
        <v>43.306874200000003</v>
      </c>
      <c r="L201">
        <v>13.4616477</v>
      </c>
      <c r="M201" t="s">
        <v>585</v>
      </c>
      <c r="N201" t="str">
        <f>TRIM(MID(M201,FIND(",",M201,FIND(",",M201)+1)+1,FIND(",",M201,FIND(",",M201,FIND(",",M201)+1)+1)-FIND(",",M201,FIND(",",M201)+1)-1))</f>
        <v>Macerata</v>
      </c>
    </row>
    <row r="202" spans="1:14" x14ac:dyDescent="0.3">
      <c r="A202">
        <v>201</v>
      </c>
      <c r="B202">
        <v>11</v>
      </c>
      <c r="D202" t="s">
        <v>586</v>
      </c>
      <c r="E202" t="s">
        <v>586</v>
      </c>
      <c r="F202" t="s">
        <v>22</v>
      </c>
      <c r="G202" t="s">
        <v>22</v>
      </c>
      <c r="J202" t="s">
        <v>587</v>
      </c>
      <c r="K202">
        <v>43.229475100000002</v>
      </c>
      <c r="L202">
        <v>13.178122699999999</v>
      </c>
      <c r="M202" t="s">
        <v>588</v>
      </c>
      <c r="N202" t="str">
        <f>TRIM(MID(M202,FIND(",",M202,FIND(",",M202)+1)+1,FIND(",",M202,FIND(",",M202,FIND(",",M202)+1)+1)-FIND(",",M202,FIND(",",M202)+1)-1))</f>
        <v>San Severino Marche</v>
      </c>
    </row>
    <row r="203" spans="1:14" x14ac:dyDescent="0.3">
      <c r="A203">
        <v>202</v>
      </c>
      <c r="B203">
        <v>12</v>
      </c>
      <c r="D203" t="s">
        <v>589</v>
      </c>
      <c r="E203" t="s">
        <v>590</v>
      </c>
      <c r="F203">
        <v>2</v>
      </c>
      <c r="G203">
        <v>210</v>
      </c>
      <c r="J203" t="s">
        <v>591</v>
      </c>
      <c r="K203">
        <v>43.301779199999999</v>
      </c>
      <c r="L203">
        <v>13.4577648</v>
      </c>
      <c r="M203" t="s">
        <v>592</v>
      </c>
      <c r="N203" t="str">
        <f>TRIM(MID(M203,FIND(",",M203,FIND(",",M203)+1)+1,FIND(",",M203,FIND(",",M203,FIND(",",M203)+1)+1)-FIND(",",M203,FIND(",",M203)+1)-1))</f>
        <v>62100</v>
      </c>
    </row>
    <row r="204" spans="1:14" x14ac:dyDescent="0.3">
      <c r="A204">
        <v>203</v>
      </c>
      <c r="B204">
        <v>12</v>
      </c>
      <c r="D204" t="s">
        <v>593</v>
      </c>
      <c r="E204" t="s">
        <v>593</v>
      </c>
      <c r="F204" t="s">
        <v>22</v>
      </c>
      <c r="G204" t="s">
        <v>22</v>
      </c>
      <c r="J204" t="s">
        <v>594</v>
      </c>
      <c r="N204" t="e">
        <f>TRIM(MID(M204,FIND(",",M204,FIND(",",M204)+1)+1,FIND(",",M204,FIND(",",M204,FIND(",",M204)+1)+1)-FIND(",",M204,FIND(",",M204)+1)-1))</f>
        <v>#VALUE!</v>
      </c>
    </row>
    <row r="205" spans="1:14" x14ac:dyDescent="0.3">
      <c r="A205">
        <v>204</v>
      </c>
      <c r="B205">
        <v>12</v>
      </c>
      <c r="D205" t="s">
        <v>595</v>
      </c>
      <c r="E205" t="s">
        <v>595</v>
      </c>
      <c r="F205" t="s">
        <v>22</v>
      </c>
      <c r="G205" t="s">
        <v>22</v>
      </c>
      <c r="J205" t="s">
        <v>596</v>
      </c>
      <c r="K205">
        <v>43.303686599999999</v>
      </c>
      <c r="L205">
        <v>13.4589628</v>
      </c>
      <c r="M205" t="s">
        <v>597</v>
      </c>
      <c r="N205" t="str">
        <f>TRIM(MID(M205,FIND(",",M205,FIND(",",M205)+1)+1,FIND(",",M205,FIND(",",M205,FIND(",",M205)+1)+1)-FIND(",",M205,FIND(",",M205)+1)-1))</f>
        <v>Macerata</v>
      </c>
    </row>
    <row r="206" spans="1:14" x14ac:dyDescent="0.3">
      <c r="A206">
        <v>205</v>
      </c>
      <c r="B206">
        <v>12</v>
      </c>
      <c r="D206" t="s">
        <v>598</v>
      </c>
      <c r="E206" t="s">
        <v>549</v>
      </c>
      <c r="F206">
        <v>16</v>
      </c>
      <c r="G206">
        <v>50</v>
      </c>
      <c r="J206" t="s">
        <v>599</v>
      </c>
      <c r="K206">
        <v>43.306012699999997</v>
      </c>
      <c r="L206">
        <v>13.460637800000001</v>
      </c>
      <c r="M206" t="s">
        <v>551</v>
      </c>
      <c r="N206" t="str">
        <f>TRIM(MID(M206,FIND(",",M206,FIND(",",M206)+1)+1,FIND(",",M206,FIND(",",M206,FIND(",",M206)+1)+1)-FIND(",",M206,FIND(",",M206)+1)-1))</f>
        <v>Macerata</v>
      </c>
    </row>
    <row r="207" spans="1:14" x14ac:dyDescent="0.3">
      <c r="A207">
        <v>206</v>
      </c>
      <c r="B207">
        <v>12</v>
      </c>
      <c r="D207" t="s">
        <v>600</v>
      </c>
      <c r="E207" t="s">
        <v>564</v>
      </c>
      <c r="F207">
        <v>56</v>
      </c>
      <c r="G207">
        <v>110</v>
      </c>
      <c r="J207" t="s">
        <v>601</v>
      </c>
      <c r="K207">
        <v>43.302164599999998</v>
      </c>
      <c r="L207">
        <v>13.460089999999999</v>
      </c>
      <c r="M207" t="s">
        <v>566</v>
      </c>
      <c r="N207" t="str">
        <f>TRIM(MID(M207,FIND(",",M207,FIND(",",M207)+1)+1,FIND(",",M207,FIND(",",M207,FIND(",",M207)+1)+1)-FIND(",",M207,FIND(",",M207)+1)-1))</f>
        <v>Macerata</v>
      </c>
    </row>
    <row r="208" spans="1:14" x14ac:dyDescent="0.3">
      <c r="A208">
        <v>207</v>
      </c>
      <c r="B208">
        <v>12</v>
      </c>
      <c r="D208" t="s">
        <v>602</v>
      </c>
      <c r="E208" t="s">
        <v>602</v>
      </c>
      <c r="F208" t="s">
        <v>22</v>
      </c>
      <c r="G208" t="s">
        <v>22</v>
      </c>
      <c r="J208" t="s">
        <v>603</v>
      </c>
      <c r="N208" t="e">
        <f>TRIM(MID(M208,FIND(",",M208,FIND(",",M208)+1)+1,FIND(",",M208,FIND(",",M208,FIND(",",M208)+1)+1)-FIND(",",M208,FIND(",",M208)+1)-1))</f>
        <v>#VALUE!</v>
      </c>
    </row>
    <row r="209" spans="1:14" x14ac:dyDescent="0.3">
      <c r="A209">
        <v>208</v>
      </c>
      <c r="B209">
        <v>12</v>
      </c>
      <c r="D209" t="s">
        <v>604</v>
      </c>
      <c r="E209" t="s">
        <v>604</v>
      </c>
      <c r="F209" t="s">
        <v>22</v>
      </c>
      <c r="G209" t="s">
        <v>22</v>
      </c>
      <c r="J209" t="s">
        <v>605</v>
      </c>
      <c r="K209">
        <v>43.303499199999997</v>
      </c>
      <c r="L209">
        <v>13.4597642</v>
      </c>
      <c r="M209" t="s">
        <v>606</v>
      </c>
      <c r="N209" t="str">
        <f>TRIM(MID(M209,FIND(",",M209,FIND(",",M209)+1)+1,FIND(",",M209,FIND(",",M209,FIND(",",M209)+1)+1)-FIND(",",M209,FIND(",",M209)+1)-1))</f>
        <v>Macerata</v>
      </c>
    </row>
    <row r="210" spans="1:14" x14ac:dyDescent="0.3">
      <c r="A210">
        <v>209</v>
      </c>
      <c r="B210">
        <v>12</v>
      </c>
      <c r="D210" t="s">
        <v>607</v>
      </c>
      <c r="E210" t="s">
        <v>607</v>
      </c>
      <c r="F210" t="s">
        <v>22</v>
      </c>
      <c r="G210" t="s">
        <v>22</v>
      </c>
      <c r="J210" t="s">
        <v>608</v>
      </c>
      <c r="K210">
        <v>43.302881300000003</v>
      </c>
      <c r="L210">
        <v>13.4584402</v>
      </c>
      <c r="M210" t="s">
        <v>609</v>
      </c>
      <c r="N210" t="str">
        <f>TRIM(MID(M210,FIND(",",M210,FIND(",",M210)+1)+1,FIND(",",M210,FIND(",",M210,FIND(",",M210)+1)+1)-FIND(",",M210,FIND(",",M210)+1)-1))</f>
        <v>Macerata</v>
      </c>
    </row>
    <row r="211" spans="1:14" x14ac:dyDescent="0.3">
      <c r="A211">
        <v>210</v>
      </c>
      <c r="B211">
        <v>12</v>
      </c>
      <c r="D211" t="s">
        <v>610</v>
      </c>
      <c r="E211" t="s">
        <v>610</v>
      </c>
      <c r="F211" t="s">
        <v>22</v>
      </c>
      <c r="G211" t="s">
        <v>22</v>
      </c>
      <c r="J211" t="s">
        <v>611</v>
      </c>
      <c r="K211">
        <v>43.301519399999997</v>
      </c>
      <c r="L211">
        <v>13.457020099999999</v>
      </c>
      <c r="M211" t="s">
        <v>612</v>
      </c>
      <c r="N211" t="str">
        <f>TRIM(MID(M211,FIND(",",M211,FIND(",",M211)+1)+1,FIND(",",M211,FIND(",",M211,FIND(",",M211)+1)+1)-FIND(",",M211,FIND(",",M211)+1)-1))</f>
        <v>Macerata</v>
      </c>
    </row>
    <row r="212" spans="1:14" x14ac:dyDescent="0.3">
      <c r="A212">
        <v>211</v>
      </c>
      <c r="B212">
        <v>12</v>
      </c>
      <c r="D212" t="s">
        <v>613</v>
      </c>
      <c r="E212" t="s">
        <v>613</v>
      </c>
      <c r="F212" t="s">
        <v>22</v>
      </c>
      <c r="G212" t="s">
        <v>22</v>
      </c>
      <c r="J212" t="s">
        <v>614</v>
      </c>
      <c r="K212">
        <v>43.304443499999998</v>
      </c>
      <c r="L212">
        <v>13.4603339</v>
      </c>
      <c r="M212" t="s">
        <v>615</v>
      </c>
      <c r="N212" t="str">
        <f>TRIM(MID(M212,FIND(",",M212,FIND(",",M212)+1)+1,FIND(",",M212,FIND(",",M212,FIND(",",M212)+1)+1)-FIND(",",M212,FIND(",",M212)+1)-1))</f>
        <v>Macerata</v>
      </c>
    </row>
    <row r="213" spans="1:14" x14ac:dyDescent="0.3">
      <c r="A213">
        <v>212</v>
      </c>
      <c r="B213">
        <v>12</v>
      </c>
      <c r="D213" t="s">
        <v>616</v>
      </c>
      <c r="E213" t="s">
        <v>616</v>
      </c>
      <c r="F213" t="s">
        <v>22</v>
      </c>
      <c r="G213" t="s">
        <v>22</v>
      </c>
      <c r="J213" t="s">
        <v>617</v>
      </c>
      <c r="K213">
        <v>43.302492100000002</v>
      </c>
      <c r="L213">
        <v>13.458177600000001</v>
      </c>
      <c r="M213" t="s">
        <v>618</v>
      </c>
      <c r="N213" t="str">
        <f>TRIM(MID(M213,FIND(",",M213,FIND(",",M213)+1)+1,FIND(",",M213,FIND(",",M213,FIND(",",M213)+1)+1)-FIND(",",M213,FIND(",",M213)+1)-1))</f>
        <v>Macerata</v>
      </c>
    </row>
    <row r="214" spans="1:14" x14ac:dyDescent="0.3">
      <c r="A214">
        <v>213</v>
      </c>
      <c r="B214">
        <v>12</v>
      </c>
      <c r="D214" t="s">
        <v>619</v>
      </c>
      <c r="E214" t="s">
        <v>619</v>
      </c>
      <c r="F214" t="s">
        <v>22</v>
      </c>
      <c r="G214" t="s">
        <v>22</v>
      </c>
      <c r="J214" t="s">
        <v>620</v>
      </c>
      <c r="K214">
        <v>43.301963600000001</v>
      </c>
      <c r="L214">
        <v>13.4576343</v>
      </c>
      <c r="M214" t="s">
        <v>621</v>
      </c>
      <c r="N214" t="str">
        <f>TRIM(MID(M214,FIND(",",M214,FIND(",",M214)+1)+1,FIND(",",M214,FIND(",",M214,FIND(",",M214)+1)+1)-FIND(",",M214,FIND(",",M214)+1)-1))</f>
        <v>Macerata</v>
      </c>
    </row>
    <row r="215" spans="1:14" x14ac:dyDescent="0.3">
      <c r="A215">
        <v>214</v>
      </c>
      <c r="B215">
        <v>12</v>
      </c>
      <c r="D215" t="s">
        <v>622</v>
      </c>
      <c r="E215" t="s">
        <v>622</v>
      </c>
      <c r="F215" t="s">
        <v>22</v>
      </c>
      <c r="G215" t="s">
        <v>22</v>
      </c>
      <c r="J215" t="s">
        <v>623</v>
      </c>
      <c r="K215">
        <v>43.305660600000003</v>
      </c>
      <c r="L215">
        <v>13.459463100000001</v>
      </c>
      <c r="M215" t="s">
        <v>624</v>
      </c>
      <c r="N215" t="str">
        <f>TRIM(MID(M215,FIND(",",M215,FIND(",",M215)+1)+1,FIND(",",M215,FIND(",",M215,FIND(",",M215)+1)+1)-FIND(",",M215,FIND(",",M215)+1)-1))</f>
        <v>Macerata</v>
      </c>
    </row>
    <row r="216" spans="1:14" x14ac:dyDescent="0.3">
      <c r="A216">
        <v>215</v>
      </c>
      <c r="B216">
        <v>12</v>
      </c>
      <c r="D216" t="s">
        <v>625</v>
      </c>
      <c r="E216" t="s">
        <v>542</v>
      </c>
      <c r="F216">
        <v>3</v>
      </c>
      <c r="G216">
        <v>31</v>
      </c>
      <c r="J216" t="s">
        <v>626</v>
      </c>
      <c r="K216">
        <v>43.301429599999999</v>
      </c>
      <c r="L216">
        <v>13.4558179</v>
      </c>
      <c r="M216" t="s">
        <v>544</v>
      </c>
      <c r="N216" t="str">
        <f>TRIM(MID(M216,FIND(",",M216,FIND(",",M216)+1)+1,FIND(",",M216,FIND(",",M216,FIND(",",M216)+1)+1)-FIND(",",M216,FIND(",",M216)+1)-1))</f>
        <v>Macerata</v>
      </c>
    </row>
    <row r="217" spans="1:14" x14ac:dyDescent="0.3">
      <c r="A217">
        <v>216</v>
      </c>
      <c r="B217">
        <v>12</v>
      </c>
      <c r="D217" t="s">
        <v>625</v>
      </c>
      <c r="E217" t="s">
        <v>542</v>
      </c>
      <c r="F217">
        <v>2</v>
      </c>
      <c r="G217">
        <v>2</v>
      </c>
      <c r="J217" t="s">
        <v>627</v>
      </c>
      <c r="K217">
        <v>43.136870500000001</v>
      </c>
      <c r="L217">
        <v>13.0716631</v>
      </c>
      <c r="M217" t="s">
        <v>628</v>
      </c>
      <c r="N217" t="str">
        <f>TRIM(MID(M217,FIND(",",M217,FIND(",",M217)+1)+1,FIND(",",M217,FIND(",",M217,FIND(",",M217)+1)+1)-FIND(",",M217,FIND(",",M217)+1)-1))</f>
        <v>Camerino</v>
      </c>
    </row>
    <row r="218" spans="1:14" x14ac:dyDescent="0.3">
      <c r="A218">
        <v>217</v>
      </c>
      <c r="B218">
        <v>12</v>
      </c>
      <c r="D218" t="s">
        <v>629</v>
      </c>
      <c r="E218" t="s">
        <v>629</v>
      </c>
      <c r="F218" t="s">
        <v>22</v>
      </c>
      <c r="G218" t="s">
        <v>22</v>
      </c>
      <c r="J218" t="s">
        <v>630</v>
      </c>
      <c r="K218">
        <v>43.301559900000001</v>
      </c>
      <c r="L218">
        <v>13.457192300000001</v>
      </c>
      <c r="M218" t="s">
        <v>631</v>
      </c>
      <c r="N218" t="str">
        <f>TRIM(MID(M218,FIND(",",M218,FIND(",",M218)+1)+1,FIND(",",M218,FIND(",",M218,FIND(",",M218)+1)+1)-FIND(",",M218,FIND(",",M218)+1)-1))</f>
        <v>Macerata</v>
      </c>
    </row>
    <row r="219" spans="1:14" x14ac:dyDescent="0.3">
      <c r="A219">
        <v>218</v>
      </c>
      <c r="B219">
        <v>12</v>
      </c>
      <c r="D219" t="s">
        <v>632</v>
      </c>
      <c r="E219" t="s">
        <v>632</v>
      </c>
      <c r="F219" t="s">
        <v>22</v>
      </c>
      <c r="G219" t="s">
        <v>22</v>
      </c>
      <c r="J219" t="s">
        <v>633</v>
      </c>
      <c r="K219">
        <v>43.3016334</v>
      </c>
      <c r="L219">
        <v>13.457497099999999</v>
      </c>
      <c r="M219" t="s">
        <v>634</v>
      </c>
      <c r="N219" t="str">
        <f>TRIM(MID(M219,FIND(",",M219,FIND(",",M219)+1)+1,FIND(",",M219,FIND(",",M219,FIND(",",M219)+1)+1)-FIND(",",M219,FIND(",",M219)+1)-1))</f>
        <v>Macerata</v>
      </c>
    </row>
    <row r="220" spans="1:14" x14ac:dyDescent="0.3">
      <c r="A220">
        <v>219</v>
      </c>
      <c r="B220">
        <v>13</v>
      </c>
      <c r="D220" t="s">
        <v>635</v>
      </c>
      <c r="E220" t="s">
        <v>590</v>
      </c>
      <c r="F220">
        <v>1</v>
      </c>
      <c r="G220">
        <v>149</v>
      </c>
      <c r="J220" t="s">
        <v>636</v>
      </c>
      <c r="K220">
        <v>43.301050799999999</v>
      </c>
      <c r="L220">
        <v>13.4577293</v>
      </c>
      <c r="M220" t="s">
        <v>637</v>
      </c>
      <c r="N220" t="str">
        <f>TRIM(MID(M220,FIND(",",M220,FIND(",",M220)+1)+1,FIND(",",M220,FIND(",",M220,FIND(",",M220)+1)+1)-FIND(",",M220,FIND(",",M220)+1)-1))</f>
        <v>Macerata</v>
      </c>
    </row>
    <row r="221" spans="1:14" x14ac:dyDescent="0.3">
      <c r="A221">
        <v>220</v>
      </c>
      <c r="B221">
        <v>13</v>
      </c>
      <c r="D221" t="s">
        <v>638</v>
      </c>
      <c r="E221" t="s">
        <v>564</v>
      </c>
      <c r="F221">
        <v>3</v>
      </c>
      <c r="G221">
        <v>131</v>
      </c>
      <c r="J221" t="s">
        <v>639</v>
      </c>
      <c r="K221">
        <v>43.301689500000002</v>
      </c>
      <c r="L221">
        <v>13.459569800000001</v>
      </c>
      <c r="M221" t="s">
        <v>640</v>
      </c>
      <c r="N221" t="str">
        <f>TRIM(MID(M221,FIND(",",M221,FIND(",",M221)+1)+1,FIND(",",M221,FIND(",",M221,FIND(",",M221)+1)+1)-FIND(",",M221,FIND(",",M221)+1)-1))</f>
        <v>Pace</v>
      </c>
    </row>
    <row r="222" spans="1:14" x14ac:dyDescent="0.3">
      <c r="A222">
        <v>221</v>
      </c>
      <c r="B222">
        <v>13</v>
      </c>
      <c r="D222" t="s">
        <v>638</v>
      </c>
      <c r="E222" t="s">
        <v>564</v>
      </c>
      <c r="F222">
        <v>4</v>
      </c>
      <c r="G222">
        <v>50</v>
      </c>
      <c r="J222" t="s">
        <v>641</v>
      </c>
      <c r="K222">
        <v>43.302164599999998</v>
      </c>
      <c r="L222">
        <v>13.460089999999999</v>
      </c>
      <c r="M222" t="s">
        <v>566</v>
      </c>
      <c r="N222" t="str">
        <f>TRIM(MID(M222,FIND(",",M222,FIND(",",M222)+1)+1,FIND(",",M222,FIND(",",M222,FIND(",",M222)+1)+1)-FIND(",",M222,FIND(",",M222)+1)-1))</f>
        <v>Macerata</v>
      </c>
    </row>
    <row r="223" spans="1:14" x14ac:dyDescent="0.3">
      <c r="A223">
        <v>222</v>
      </c>
      <c r="B223">
        <v>13</v>
      </c>
      <c r="D223" t="s">
        <v>642</v>
      </c>
      <c r="E223" t="s">
        <v>643</v>
      </c>
      <c r="F223" t="s">
        <v>22</v>
      </c>
      <c r="G223" t="s">
        <v>22</v>
      </c>
      <c r="J223" t="s">
        <v>644</v>
      </c>
      <c r="K223">
        <v>43.305761400000002</v>
      </c>
      <c r="L223">
        <v>13.461984899999999</v>
      </c>
      <c r="M223" t="s">
        <v>566</v>
      </c>
      <c r="N223" t="str">
        <f>TRIM(MID(M223,FIND(",",M223,FIND(",",M223)+1)+1,FIND(",",M223,FIND(",",M223,FIND(",",M223)+1)+1)-FIND(",",M223,FIND(",",M223)+1)-1))</f>
        <v>Macerata</v>
      </c>
    </row>
    <row r="224" spans="1:14" x14ac:dyDescent="0.3">
      <c r="A224">
        <v>223</v>
      </c>
      <c r="B224">
        <v>13</v>
      </c>
      <c r="D224" t="s">
        <v>645</v>
      </c>
      <c r="E224" t="s">
        <v>643</v>
      </c>
      <c r="F224" t="s">
        <v>22</v>
      </c>
      <c r="G224" t="s">
        <v>22</v>
      </c>
      <c r="J224" t="s">
        <v>644</v>
      </c>
      <c r="K224">
        <v>43.305761400000002</v>
      </c>
      <c r="L224">
        <v>13.461984899999999</v>
      </c>
      <c r="M224" t="s">
        <v>566</v>
      </c>
      <c r="N224" t="str">
        <f>TRIM(MID(M224,FIND(",",M224,FIND(",",M224)+1)+1,FIND(",",M224,FIND(",",M224,FIND(",",M224)+1)+1)-FIND(",",M224,FIND(",",M224)+1)-1))</f>
        <v>Macerata</v>
      </c>
    </row>
    <row r="225" spans="1:14" x14ac:dyDescent="0.3">
      <c r="A225">
        <v>224</v>
      </c>
      <c r="B225">
        <v>13</v>
      </c>
      <c r="D225" t="s">
        <v>646</v>
      </c>
      <c r="E225" t="s">
        <v>643</v>
      </c>
      <c r="F225" t="s">
        <v>22</v>
      </c>
      <c r="G225" t="s">
        <v>22</v>
      </c>
      <c r="J225" t="s">
        <v>644</v>
      </c>
      <c r="K225">
        <v>43.305761400000002</v>
      </c>
      <c r="L225">
        <v>13.461984899999999</v>
      </c>
      <c r="M225" t="s">
        <v>566</v>
      </c>
      <c r="N225" t="str">
        <f>TRIM(MID(M225,FIND(",",M225,FIND(",",M225)+1)+1,FIND(",",M225,FIND(",",M225,FIND(",",M225)+1)+1)-FIND(",",M225,FIND(",",M225)+1)-1))</f>
        <v>Macerata</v>
      </c>
    </row>
    <row r="226" spans="1:14" x14ac:dyDescent="0.3">
      <c r="A226">
        <v>225</v>
      </c>
      <c r="B226">
        <v>13</v>
      </c>
      <c r="D226" t="s">
        <v>647</v>
      </c>
      <c r="E226" t="s">
        <v>643</v>
      </c>
      <c r="F226" t="s">
        <v>22</v>
      </c>
      <c r="G226" t="s">
        <v>22</v>
      </c>
      <c r="J226" t="s">
        <v>644</v>
      </c>
      <c r="K226">
        <v>43.305761400000002</v>
      </c>
      <c r="L226">
        <v>13.461984899999999</v>
      </c>
      <c r="M226" t="s">
        <v>566</v>
      </c>
      <c r="N226" t="str">
        <f>TRIM(MID(M226,FIND(",",M226,FIND(",",M226)+1)+1,FIND(",",M226,FIND(",",M226,FIND(",",M226)+1)+1)-FIND(",",M226,FIND(",",M226)+1)-1))</f>
        <v>Macerata</v>
      </c>
    </row>
    <row r="227" spans="1:14" x14ac:dyDescent="0.3">
      <c r="A227">
        <v>226</v>
      </c>
      <c r="B227">
        <v>13</v>
      </c>
      <c r="D227" t="s">
        <v>648</v>
      </c>
      <c r="E227" t="s">
        <v>643</v>
      </c>
      <c r="F227" t="s">
        <v>22</v>
      </c>
      <c r="G227" t="s">
        <v>22</v>
      </c>
      <c r="J227" t="s">
        <v>644</v>
      </c>
      <c r="K227">
        <v>43.305761400000002</v>
      </c>
      <c r="L227">
        <v>13.461984899999999</v>
      </c>
      <c r="M227" t="s">
        <v>566</v>
      </c>
      <c r="N227" t="str">
        <f>TRIM(MID(M227,FIND(",",M227,FIND(",",M227)+1)+1,FIND(",",M227,FIND(",",M227,FIND(",",M227)+1)+1)-FIND(",",M227,FIND(",",M227)+1)-1))</f>
        <v>Macerata</v>
      </c>
    </row>
    <row r="228" spans="1:14" x14ac:dyDescent="0.3">
      <c r="A228">
        <v>227</v>
      </c>
      <c r="B228">
        <v>13</v>
      </c>
      <c r="D228" t="s">
        <v>649</v>
      </c>
      <c r="E228" t="s">
        <v>649</v>
      </c>
      <c r="F228" t="s">
        <v>22</v>
      </c>
      <c r="G228" t="s">
        <v>22</v>
      </c>
      <c r="J228" t="s">
        <v>650</v>
      </c>
      <c r="K228">
        <v>43.299929599999999</v>
      </c>
      <c r="L228">
        <v>13.457761700000001</v>
      </c>
      <c r="M228" t="s">
        <v>651</v>
      </c>
      <c r="N228" t="str">
        <f>TRIM(MID(M228,FIND(",",M228,FIND(",",M228)+1)+1,FIND(",",M228,FIND(",",M228,FIND(",",M228)+1)+1)-FIND(",",M228,FIND(",",M228)+1)-1))</f>
        <v>Macerata</v>
      </c>
    </row>
    <row r="229" spans="1:14" x14ac:dyDescent="0.3">
      <c r="A229">
        <v>228</v>
      </c>
      <c r="B229">
        <v>13</v>
      </c>
      <c r="D229" t="s">
        <v>652</v>
      </c>
      <c r="E229" t="s">
        <v>652</v>
      </c>
      <c r="F229" t="s">
        <v>22</v>
      </c>
      <c r="G229" t="s">
        <v>22</v>
      </c>
      <c r="J229" t="s">
        <v>653</v>
      </c>
      <c r="K229">
        <v>43.300600299999999</v>
      </c>
      <c r="L229">
        <v>13.458818000000001</v>
      </c>
      <c r="M229" t="s">
        <v>654</v>
      </c>
      <c r="N229" t="str">
        <f>TRIM(MID(M229,FIND(",",M229,FIND(",",M229)+1)+1,FIND(",",M229,FIND(",",M229,FIND(",",M229)+1)+1)-FIND(",",M229,FIND(",",M229)+1)-1))</f>
        <v>Macerata</v>
      </c>
    </row>
    <row r="230" spans="1:14" x14ac:dyDescent="0.3">
      <c r="A230">
        <v>229</v>
      </c>
      <c r="B230">
        <v>13</v>
      </c>
      <c r="D230" t="s">
        <v>655</v>
      </c>
      <c r="E230" t="s">
        <v>655</v>
      </c>
      <c r="F230" t="s">
        <v>22</v>
      </c>
      <c r="G230" t="s">
        <v>22</v>
      </c>
      <c r="J230" t="s">
        <v>656</v>
      </c>
      <c r="N230" t="e">
        <f>TRIM(MID(M230,FIND(",",M230,FIND(",",M230)+1)+1,FIND(",",M230,FIND(",",M230,FIND(",",M230)+1)+1)-FIND(",",M230,FIND(",",M230)+1)-1))</f>
        <v>#VALUE!</v>
      </c>
    </row>
    <row r="231" spans="1:14" x14ac:dyDescent="0.3">
      <c r="A231">
        <v>230</v>
      </c>
      <c r="B231">
        <v>13</v>
      </c>
      <c r="D231" t="s">
        <v>657</v>
      </c>
      <c r="E231" t="s">
        <v>657</v>
      </c>
      <c r="F231" t="s">
        <v>22</v>
      </c>
      <c r="G231" t="s">
        <v>22</v>
      </c>
      <c r="J231" t="s">
        <v>658</v>
      </c>
      <c r="K231">
        <v>43.301056299999999</v>
      </c>
      <c r="L231">
        <v>13.457841699999999</v>
      </c>
      <c r="M231" t="s">
        <v>659</v>
      </c>
      <c r="N231" t="str">
        <f>TRIM(MID(M231,FIND(",",M231,FIND(",",M231)+1)+1,FIND(",",M231,FIND(",",M231,FIND(",",M231)+1)+1)-FIND(",",M231,FIND(",",M231)+1)-1))</f>
        <v>Macerata</v>
      </c>
    </row>
    <row r="232" spans="1:14" x14ac:dyDescent="0.3">
      <c r="A232">
        <v>231</v>
      </c>
      <c r="B232">
        <v>14</v>
      </c>
      <c r="D232" t="s">
        <v>660</v>
      </c>
      <c r="E232" t="s">
        <v>660</v>
      </c>
      <c r="F232" t="s">
        <v>22</v>
      </c>
      <c r="G232" t="s">
        <v>22</v>
      </c>
      <c r="J232" t="s">
        <v>661</v>
      </c>
      <c r="K232">
        <v>43.310534500000003</v>
      </c>
      <c r="L232">
        <v>13.4708697</v>
      </c>
      <c r="M232" t="s">
        <v>662</v>
      </c>
      <c r="N232" t="str">
        <f>TRIM(MID(M232,FIND(",",M232,FIND(",",M232)+1)+1,FIND(",",M232,FIND(",",M232,FIND(",",M232)+1)+1)-FIND(",",M232,FIND(",",M232)+1)-1))</f>
        <v>Macerata</v>
      </c>
    </row>
    <row r="233" spans="1:14" x14ac:dyDescent="0.3">
      <c r="A233">
        <v>232</v>
      </c>
      <c r="B233">
        <v>14</v>
      </c>
      <c r="D233" t="s">
        <v>663</v>
      </c>
      <c r="E233" t="s">
        <v>663</v>
      </c>
      <c r="F233" t="s">
        <v>22</v>
      </c>
      <c r="G233" t="s">
        <v>22</v>
      </c>
      <c r="J233" t="s">
        <v>664</v>
      </c>
      <c r="K233">
        <v>43.331007700000001</v>
      </c>
      <c r="L233">
        <v>13.5110861</v>
      </c>
      <c r="M233" t="s">
        <v>665</v>
      </c>
      <c r="N233" t="str">
        <f>TRIM(MID(M233,FIND(",",M233,FIND(",",M233)+1)+1,FIND(",",M233,FIND(",",M233,FIND(",",M233)+1)+1)-FIND(",",M233,FIND(",",M233)+1)-1))</f>
        <v>62010</v>
      </c>
    </row>
    <row r="234" spans="1:14" x14ac:dyDescent="0.3">
      <c r="A234">
        <v>233</v>
      </c>
      <c r="B234">
        <v>14</v>
      </c>
      <c r="D234" t="s">
        <v>666</v>
      </c>
      <c r="E234" t="s">
        <v>666</v>
      </c>
      <c r="F234" t="s">
        <v>22</v>
      </c>
      <c r="G234" t="s">
        <v>22</v>
      </c>
      <c r="J234" t="s">
        <v>667</v>
      </c>
      <c r="K234">
        <v>43.308853999999997</v>
      </c>
      <c r="L234">
        <v>13.485886499999999</v>
      </c>
      <c r="M234" t="s">
        <v>668</v>
      </c>
      <c r="N234" t="str">
        <f>TRIM(MID(M234,FIND(",",M234,FIND(",",M234)+1)+1,FIND(",",M234,FIND(",",M234,FIND(",",M234)+1)+1)-FIND(",",M234,FIND(",",M234)+1)-1))</f>
        <v>62010</v>
      </c>
    </row>
    <row r="235" spans="1:14" x14ac:dyDescent="0.3">
      <c r="A235">
        <v>234</v>
      </c>
      <c r="B235">
        <v>14</v>
      </c>
      <c r="D235" t="s">
        <v>669</v>
      </c>
      <c r="E235" t="s">
        <v>669</v>
      </c>
      <c r="F235" t="s">
        <v>22</v>
      </c>
      <c r="G235" t="s">
        <v>22</v>
      </c>
      <c r="J235" t="s">
        <v>670</v>
      </c>
      <c r="K235">
        <v>43.322262500000001</v>
      </c>
      <c r="L235">
        <v>13.5256934</v>
      </c>
      <c r="M235" t="s">
        <v>671</v>
      </c>
      <c r="N235" t="str">
        <f>TRIM(MID(M235,FIND(",",M235,FIND(",",M235)+1)+1,FIND(",",M235,FIND(",",M235,FIND(",",M235)+1)+1)-FIND(",",M235,FIND(",",M235)+1)-1))</f>
        <v>Macerata</v>
      </c>
    </row>
    <row r="236" spans="1:14" x14ac:dyDescent="0.3">
      <c r="A236">
        <v>235</v>
      </c>
      <c r="B236">
        <v>14</v>
      </c>
      <c r="D236" t="s">
        <v>672</v>
      </c>
      <c r="E236" t="s">
        <v>672</v>
      </c>
      <c r="F236" t="s">
        <v>22</v>
      </c>
      <c r="G236" t="s">
        <v>22</v>
      </c>
      <c r="J236" t="s">
        <v>673</v>
      </c>
      <c r="K236">
        <v>43.306201000000001</v>
      </c>
      <c r="L236">
        <v>13.4774023</v>
      </c>
      <c r="M236" t="s">
        <v>674</v>
      </c>
      <c r="N236" t="str">
        <f>TRIM(MID(M236,FIND(",",M236,FIND(",",M236)+1)+1,FIND(",",M236,FIND(",",M236,FIND(",",M236)+1)+1)-FIND(",",M236,FIND(",",M236)+1)-1))</f>
        <v>Macerata</v>
      </c>
    </row>
    <row r="237" spans="1:14" x14ac:dyDescent="0.3">
      <c r="A237">
        <v>236</v>
      </c>
      <c r="B237">
        <v>14</v>
      </c>
      <c r="D237" t="s">
        <v>675</v>
      </c>
      <c r="E237" t="s">
        <v>675</v>
      </c>
      <c r="F237" t="s">
        <v>22</v>
      </c>
      <c r="G237" t="s">
        <v>22</v>
      </c>
      <c r="J237" t="s">
        <v>676</v>
      </c>
      <c r="K237">
        <v>43.336180900000002</v>
      </c>
      <c r="L237">
        <v>13.563871600000001</v>
      </c>
      <c r="M237" t="s">
        <v>677</v>
      </c>
      <c r="N237" t="str">
        <f>TRIM(MID(M237,FIND(",",M237,FIND(",",M237)+1)+1,FIND(",",M237,FIND(",",M237,FIND(",",M237)+1)+1)-FIND(",",M237,FIND(",",M237)+1)-1))</f>
        <v>Montelupone</v>
      </c>
    </row>
    <row r="238" spans="1:14" x14ac:dyDescent="0.3">
      <c r="A238">
        <v>237</v>
      </c>
      <c r="B238">
        <v>14</v>
      </c>
      <c r="D238" t="s">
        <v>678</v>
      </c>
      <c r="E238" t="s">
        <v>678</v>
      </c>
      <c r="F238" t="s">
        <v>22</v>
      </c>
      <c r="G238" t="s">
        <v>22</v>
      </c>
      <c r="J238" t="s">
        <v>679</v>
      </c>
      <c r="N238" t="e">
        <f>TRIM(MID(M238,FIND(",",M238,FIND(",",M238)+1)+1,FIND(",",M238,FIND(",",M238,FIND(",",M238)+1)+1)-FIND(",",M238,FIND(",",M238)+1)-1))</f>
        <v>#VALUE!</v>
      </c>
    </row>
    <row r="239" spans="1:14" x14ac:dyDescent="0.3">
      <c r="A239">
        <v>238</v>
      </c>
      <c r="B239">
        <v>14</v>
      </c>
      <c r="D239" t="s">
        <v>680</v>
      </c>
      <c r="E239" t="s">
        <v>681</v>
      </c>
      <c r="F239">
        <v>1</v>
      </c>
      <c r="G239">
        <v>1</v>
      </c>
      <c r="J239" t="s">
        <v>682</v>
      </c>
      <c r="K239">
        <v>43.295799299999999</v>
      </c>
      <c r="L239">
        <v>13.4624934</v>
      </c>
      <c r="M239" t="s">
        <v>683</v>
      </c>
      <c r="N239" t="str">
        <f>TRIM(MID(M239,FIND(",",M239,FIND(",",M239)+1)+1,FIND(",",M239,FIND(",",M239,FIND(",",M239)+1)+1)-FIND(",",M239,FIND(",",M239)+1)-1))</f>
        <v>Macerata</v>
      </c>
    </row>
    <row r="240" spans="1:14" x14ac:dyDescent="0.3">
      <c r="A240">
        <v>239</v>
      </c>
      <c r="B240">
        <v>14</v>
      </c>
      <c r="D240" t="s">
        <v>684</v>
      </c>
      <c r="E240" t="s">
        <v>685</v>
      </c>
      <c r="F240">
        <v>86</v>
      </c>
      <c r="G240">
        <v>130</v>
      </c>
      <c r="J240" t="s">
        <v>686</v>
      </c>
      <c r="K240">
        <v>43.295040299999997</v>
      </c>
      <c r="L240">
        <v>13.4629742</v>
      </c>
      <c r="M240" t="s">
        <v>687</v>
      </c>
      <c r="N240" t="str">
        <f>TRIM(MID(M240,FIND(",",M240,FIND(",",M240)+1)+1,FIND(",",M240,FIND(",",M240,FIND(",",M240)+1)+1)-FIND(",",M240,FIND(",",M240)+1)-1))</f>
        <v>Macerata</v>
      </c>
    </row>
    <row r="241" spans="1:14" x14ac:dyDescent="0.3">
      <c r="A241">
        <v>240</v>
      </c>
      <c r="B241">
        <v>14</v>
      </c>
      <c r="D241" t="s">
        <v>688</v>
      </c>
      <c r="E241" t="s">
        <v>689</v>
      </c>
      <c r="F241">
        <v>65</v>
      </c>
      <c r="G241">
        <v>151</v>
      </c>
      <c r="J241" t="s">
        <v>690</v>
      </c>
      <c r="K241">
        <v>43.299879400000002</v>
      </c>
      <c r="L241">
        <v>13.5029088</v>
      </c>
      <c r="M241" t="s">
        <v>691</v>
      </c>
      <c r="N241" t="str">
        <f>TRIM(MID(M241,FIND(",",M241,FIND(",",M241)+1)+1,FIND(",",M241,FIND(",",M241,FIND(",",M241)+1)+1)-FIND(",",M241,FIND(",",M241)+1)-1))</f>
        <v>62010</v>
      </c>
    </row>
    <row r="242" spans="1:14" x14ac:dyDescent="0.3">
      <c r="A242">
        <v>241</v>
      </c>
      <c r="B242">
        <v>14</v>
      </c>
      <c r="D242" t="s">
        <v>688</v>
      </c>
      <c r="E242" t="s">
        <v>689</v>
      </c>
      <c r="F242">
        <v>4</v>
      </c>
      <c r="G242">
        <v>178</v>
      </c>
      <c r="J242" t="s">
        <v>692</v>
      </c>
      <c r="K242">
        <v>43.299879400000002</v>
      </c>
      <c r="L242">
        <v>13.5029088</v>
      </c>
      <c r="M242" t="s">
        <v>691</v>
      </c>
      <c r="N242" t="str">
        <f>TRIM(MID(M242,FIND(",",M242,FIND(",",M242)+1)+1,FIND(",",M242,FIND(",",M242,FIND(",",M242)+1)+1)-FIND(",",M242,FIND(",",M242)+1)-1))</f>
        <v>62010</v>
      </c>
    </row>
    <row r="243" spans="1:14" x14ac:dyDescent="0.3">
      <c r="A243">
        <v>242</v>
      </c>
      <c r="B243">
        <v>15</v>
      </c>
      <c r="D243" t="s">
        <v>693</v>
      </c>
      <c r="E243" t="s">
        <v>694</v>
      </c>
      <c r="F243">
        <v>1</v>
      </c>
      <c r="G243">
        <v>21</v>
      </c>
      <c r="J243" t="s">
        <v>695</v>
      </c>
      <c r="K243">
        <v>43.290708100000003</v>
      </c>
      <c r="L243">
        <v>13.475986799999999</v>
      </c>
      <c r="M243" t="s">
        <v>696</v>
      </c>
      <c r="N243" t="str">
        <f>TRIM(MID(M243,FIND(",",M243,FIND(",",M243)+1)+1,FIND(",",M243,FIND(",",M243,FIND(",",M243)+1)+1)-FIND(",",M243,FIND(",",M243)+1)-1))</f>
        <v>Piediripa</v>
      </c>
    </row>
    <row r="244" spans="1:14" x14ac:dyDescent="0.3">
      <c r="A244">
        <v>243</v>
      </c>
      <c r="B244">
        <v>15</v>
      </c>
      <c r="D244" t="s">
        <v>693</v>
      </c>
      <c r="E244" t="s">
        <v>694</v>
      </c>
      <c r="F244">
        <v>2</v>
      </c>
      <c r="G244">
        <v>18</v>
      </c>
      <c r="J244" t="s">
        <v>697</v>
      </c>
      <c r="K244">
        <v>43.290708100000003</v>
      </c>
      <c r="L244">
        <v>13.475986799999999</v>
      </c>
      <c r="M244" t="s">
        <v>696</v>
      </c>
      <c r="N244" t="str">
        <f>TRIM(MID(M244,FIND(",",M244,FIND(",",M244)+1)+1,FIND(",",M244,FIND(",",M244,FIND(",",M244)+1)+1)-FIND(",",M244,FIND(",",M244)+1)-1))</f>
        <v>Piediripa</v>
      </c>
    </row>
    <row r="245" spans="1:14" x14ac:dyDescent="0.3">
      <c r="A245">
        <v>244</v>
      </c>
      <c r="B245">
        <v>15</v>
      </c>
      <c r="D245" t="s">
        <v>698</v>
      </c>
      <c r="E245" t="s">
        <v>699</v>
      </c>
      <c r="F245">
        <v>1</v>
      </c>
      <c r="G245">
        <v>65</v>
      </c>
      <c r="J245" t="s">
        <v>700</v>
      </c>
      <c r="K245">
        <v>43.287414099999999</v>
      </c>
      <c r="L245">
        <v>13.4624384</v>
      </c>
      <c r="M245" t="s">
        <v>701</v>
      </c>
      <c r="N245" t="str">
        <f>TRIM(MID(M245,FIND(",",M245,FIND(",",M245)+1)+1,FIND(",",M245,FIND(",",M245,FIND(",",M245)+1)+1)-FIND(",",M245,FIND(",",M245)+1)-1))</f>
        <v>Macerata</v>
      </c>
    </row>
    <row r="246" spans="1:14" x14ac:dyDescent="0.3">
      <c r="A246">
        <v>245</v>
      </c>
      <c r="B246">
        <v>15</v>
      </c>
      <c r="D246" t="s">
        <v>698</v>
      </c>
      <c r="E246" t="s">
        <v>699</v>
      </c>
      <c r="F246">
        <v>2</v>
      </c>
      <c r="G246">
        <v>62</v>
      </c>
      <c r="J246" t="s">
        <v>702</v>
      </c>
      <c r="K246">
        <v>43.292959600000003</v>
      </c>
      <c r="L246">
        <v>13.463847299999999</v>
      </c>
      <c r="M246" t="s">
        <v>701</v>
      </c>
      <c r="N246" t="str">
        <f>TRIM(MID(M246,FIND(",",M246,FIND(",",M246)+1)+1,FIND(",",M246,FIND(",",M246,FIND(",",M246)+1)+1)-FIND(",",M246,FIND(",",M246)+1)-1))</f>
        <v>Macerata</v>
      </c>
    </row>
    <row r="247" spans="1:14" x14ac:dyDescent="0.3">
      <c r="A247">
        <v>246</v>
      </c>
      <c r="B247">
        <v>15</v>
      </c>
      <c r="D247" t="s">
        <v>703</v>
      </c>
      <c r="E247" t="s">
        <v>703</v>
      </c>
      <c r="F247" t="s">
        <v>22</v>
      </c>
      <c r="G247" t="s">
        <v>22</v>
      </c>
      <c r="J247" t="s">
        <v>704</v>
      </c>
      <c r="K247">
        <v>43.2876586</v>
      </c>
      <c r="L247">
        <v>13.4733664</v>
      </c>
      <c r="M247" t="s">
        <v>705</v>
      </c>
      <c r="N247" t="str">
        <f>TRIM(MID(M247,FIND(",",M247,FIND(",",M247)+1)+1,FIND(",",M247,FIND(",",M247,FIND(",",M247)+1)+1)-FIND(",",M247,FIND(",",M247)+1)-1))</f>
        <v>Peschiera</v>
      </c>
    </row>
    <row r="248" spans="1:14" x14ac:dyDescent="0.3">
      <c r="A248">
        <v>247</v>
      </c>
      <c r="B248">
        <v>15</v>
      </c>
      <c r="D248" t="s">
        <v>706</v>
      </c>
      <c r="E248" t="s">
        <v>706</v>
      </c>
      <c r="F248" t="s">
        <v>22</v>
      </c>
      <c r="G248" t="s">
        <v>22</v>
      </c>
      <c r="J248" t="s">
        <v>707</v>
      </c>
      <c r="K248">
        <v>43.291249000000001</v>
      </c>
      <c r="L248">
        <v>13.470998399999999</v>
      </c>
      <c r="M248" t="s">
        <v>708</v>
      </c>
      <c r="N248" t="str">
        <f>TRIM(MID(M248,FIND(",",M248,FIND(",",M248)+1)+1,FIND(",",M248,FIND(",",M248,FIND(",",M248)+1)+1)-FIND(",",M248,FIND(",",M248)+1)-1))</f>
        <v>Macerata</v>
      </c>
    </row>
    <row r="249" spans="1:14" x14ac:dyDescent="0.3">
      <c r="A249">
        <v>248</v>
      </c>
      <c r="B249">
        <v>15</v>
      </c>
      <c r="D249" t="s">
        <v>709</v>
      </c>
      <c r="E249" t="s">
        <v>710</v>
      </c>
      <c r="F249">
        <v>1</v>
      </c>
      <c r="G249">
        <v>27</v>
      </c>
      <c r="J249" t="s">
        <v>711</v>
      </c>
      <c r="K249">
        <v>43.287322000000003</v>
      </c>
      <c r="L249">
        <v>13.4735222</v>
      </c>
      <c r="M249" t="s">
        <v>712</v>
      </c>
      <c r="N249" t="str">
        <f>TRIM(MID(M249,FIND(",",M249,FIND(",",M249)+1)+1,FIND(",",M249,FIND(",",M249,FIND(",",M249)+1)+1)-FIND(",",M249,FIND(",",M249)+1)-1))</f>
        <v>1</v>
      </c>
    </row>
    <row r="250" spans="1:14" x14ac:dyDescent="0.3">
      <c r="A250">
        <v>249</v>
      </c>
      <c r="B250">
        <v>15</v>
      </c>
      <c r="D250" t="s">
        <v>709</v>
      </c>
      <c r="E250" t="s">
        <v>710</v>
      </c>
      <c r="F250">
        <v>2</v>
      </c>
      <c r="G250">
        <v>38</v>
      </c>
      <c r="J250" t="s">
        <v>713</v>
      </c>
      <c r="K250">
        <v>43.364907299999999</v>
      </c>
      <c r="L250">
        <v>13.437344100000001</v>
      </c>
      <c r="M250" t="s">
        <v>714</v>
      </c>
      <c r="N250" t="str">
        <f>TRIM(MID(M250,FIND(",",M250,FIND(",",M250)+1)+1,FIND(",",M250,FIND(",",M250,FIND(",",M250)+1)+1)-FIND(",",M250,FIND(",",M250)+1)-1))</f>
        <v>Montecassiano</v>
      </c>
    </row>
    <row r="251" spans="1:14" x14ac:dyDescent="0.3">
      <c r="A251">
        <v>250</v>
      </c>
      <c r="B251">
        <v>15</v>
      </c>
      <c r="D251" t="s">
        <v>715</v>
      </c>
      <c r="E251" t="s">
        <v>715</v>
      </c>
      <c r="F251" t="s">
        <v>22</v>
      </c>
      <c r="G251" t="s">
        <v>22</v>
      </c>
      <c r="J251" t="s">
        <v>716</v>
      </c>
      <c r="K251">
        <v>43.290803799999999</v>
      </c>
      <c r="L251">
        <v>13.472362499999999</v>
      </c>
      <c r="M251" t="s">
        <v>717</v>
      </c>
      <c r="N251" t="str">
        <f>TRIM(MID(M251,FIND(",",M251,FIND(",",M251)+1)+1,FIND(",",M251,FIND(",",M251,FIND(",",M251)+1)+1)-FIND(",",M251,FIND(",",M251)+1)-1))</f>
        <v>Macerata</v>
      </c>
    </row>
    <row r="252" spans="1:14" x14ac:dyDescent="0.3">
      <c r="A252">
        <v>251</v>
      </c>
      <c r="B252">
        <v>15</v>
      </c>
      <c r="D252" t="s">
        <v>718</v>
      </c>
      <c r="E252" t="s">
        <v>718</v>
      </c>
      <c r="F252" t="s">
        <v>22</v>
      </c>
      <c r="G252" t="s">
        <v>22</v>
      </c>
      <c r="J252" t="s">
        <v>719</v>
      </c>
      <c r="K252">
        <v>43.289565000000003</v>
      </c>
      <c r="L252">
        <v>13.4757207</v>
      </c>
      <c r="M252" t="s">
        <v>720</v>
      </c>
      <c r="N252" t="str">
        <f>TRIM(MID(M252,FIND(",",M252,FIND(",",M252)+1)+1,FIND(",",M252,FIND(",",M252,FIND(",",M252)+1)+1)-FIND(",",M252,FIND(",",M252)+1)-1))</f>
        <v>Macerata</v>
      </c>
    </row>
    <row r="253" spans="1:14" x14ac:dyDescent="0.3">
      <c r="A253">
        <v>252</v>
      </c>
      <c r="B253">
        <v>15</v>
      </c>
      <c r="D253" t="s">
        <v>721</v>
      </c>
      <c r="E253" t="s">
        <v>721</v>
      </c>
      <c r="F253" t="s">
        <v>22</v>
      </c>
      <c r="G253" t="s">
        <v>22</v>
      </c>
      <c r="J253" t="s">
        <v>722</v>
      </c>
      <c r="K253">
        <v>43.282621300000002</v>
      </c>
      <c r="L253">
        <v>13.469636100000001</v>
      </c>
      <c r="M253" t="s">
        <v>723</v>
      </c>
      <c r="N253" t="str">
        <f>TRIM(MID(M253,FIND(",",M253,FIND(",",M253)+1)+1,FIND(",",M253,FIND(",",M253,FIND(",",M253)+1)+1)-FIND(",",M253,FIND(",",M253)+1)-1))</f>
        <v>Piediripa</v>
      </c>
    </row>
    <row r="254" spans="1:14" x14ac:dyDescent="0.3">
      <c r="A254">
        <v>253</v>
      </c>
      <c r="B254">
        <v>15</v>
      </c>
      <c r="D254" t="s">
        <v>724</v>
      </c>
      <c r="E254" t="s">
        <v>724</v>
      </c>
      <c r="F254" t="s">
        <v>22</v>
      </c>
      <c r="G254" t="s">
        <v>22</v>
      </c>
      <c r="J254" t="s">
        <v>725</v>
      </c>
      <c r="K254">
        <v>43.287892200000002</v>
      </c>
      <c r="L254">
        <v>13.645788599999999</v>
      </c>
      <c r="M254" t="s">
        <v>726</v>
      </c>
      <c r="N254" t="str">
        <f>TRIM(MID(M254,FIND(",",M254,FIND(",",M254)+1)+1,FIND(",",M254,FIND(",",M254,FIND(",",M254)+1)+1)-FIND(",",M254,FIND(",",M254)+1)-1))</f>
        <v>Montecosaro</v>
      </c>
    </row>
    <row r="255" spans="1:14" x14ac:dyDescent="0.3">
      <c r="A255">
        <v>254</v>
      </c>
      <c r="B255">
        <v>15</v>
      </c>
      <c r="D255" t="s">
        <v>727</v>
      </c>
      <c r="E255" t="s">
        <v>727</v>
      </c>
      <c r="F255" t="s">
        <v>22</v>
      </c>
      <c r="G255" t="s">
        <v>22</v>
      </c>
      <c r="J255" t="s">
        <v>728</v>
      </c>
      <c r="K255">
        <v>43.290573700000003</v>
      </c>
      <c r="L255">
        <v>13.4734803</v>
      </c>
      <c r="M255" t="s">
        <v>729</v>
      </c>
      <c r="N255" t="str">
        <f>TRIM(MID(M255,FIND(",",M255,FIND(",",M255)+1)+1,FIND(",",M255,FIND(",",M255,FIND(",",M255)+1)+1)-FIND(",",M255,FIND(",",M255)+1)-1))</f>
        <v>Macerata</v>
      </c>
    </row>
    <row r="256" spans="1:14" x14ac:dyDescent="0.3">
      <c r="A256">
        <v>255</v>
      </c>
      <c r="B256">
        <v>15</v>
      </c>
      <c r="D256" t="s">
        <v>730</v>
      </c>
      <c r="E256" t="s">
        <v>730</v>
      </c>
      <c r="F256" t="s">
        <v>22</v>
      </c>
      <c r="G256" t="s">
        <v>22</v>
      </c>
      <c r="J256" t="s">
        <v>731</v>
      </c>
      <c r="K256">
        <v>43.292800700000001</v>
      </c>
      <c r="L256">
        <v>13.4701854</v>
      </c>
      <c r="M256" t="s">
        <v>732</v>
      </c>
      <c r="N256" t="str">
        <f>TRIM(MID(M256,FIND(",",M256,FIND(",",M256)+1)+1,FIND(",",M256,FIND(",",M256,FIND(",",M256)+1)+1)-FIND(",",M256,FIND(",",M256)+1)-1))</f>
        <v>Macerata</v>
      </c>
    </row>
    <row r="257" spans="1:14" x14ac:dyDescent="0.3">
      <c r="A257">
        <v>256</v>
      </c>
      <c r="B257">
        <v>15</v>
      </c>
      <c r="D257" t="s">
        <v>733</v>
      </c>
      <c r="E257" t="s">
        <v>733</v>
      </c>
      <c r="F257" t="s">
        <v>22</v>
      </c>
      <c r="G257" t="s">
        <v>22</v>
      </c>
      <c r="J257" t="s">
        <v>734</v>
      </c>
      <c r="K257">
        <v>43.2882119</v>
      </c>
      <c r="L257">
        <v>13.4742628</v>
      </c>
      <c r="M257" t="s">
        <v>735</v>
      </c>
      <c r="N257" t="str">
        <f>TRIM(MID(M257,FIND(",",M257,FIND(",",M257)+1)+1,FIND(",",M257,FIND(",",M257,FIND(",",M257)+1)+1)-FIND(",",M257,FIND(",",M257)+1)-1))</f>
        <v>Macerata</v>
      </c>
    </row>
    <row r="258" spans="1:14" x14ac:dyDescent="0.3">
      <c r="A258">
        <v>257</v>
      </c>
      <c r="B258">
        <v>15</v>
      </c>
      <c r="D258" t="s">
        <v>736</v>
      </c>
      <c r="E258" t="s">
        <v>685</v>
      </c>
      <c r="F258">
        <v>11</v>
      </c>
      <c r="G258">
        <v>31</v>
      </c>
      <c r="J258" t="s">
        <v>737</v>
      </c>
      <c r="K258">
        <v>43.2938653</v>
      </c>
      <c r="L258">
        <v>13.467307399999999</v>
      </c>
      <c r="M258" t="s">
        <v>738</v>
      </c>
      <c r="N258" t="str">
        <f>TRIM(MID(M258,FIND(",",M258,FIND(",",M258)+1)+1,FIND(",",M258,FIND(",",M258,FIND(",",M258)+1)+1)-FIND(",",M258,FIND(",",M258)+1)-1))</f>
        <v>15</v>
      </c>
    </row>
    <row r="259" spans="1:14" x14ac:dyDescent="0.3">
      <c r="A259">
        <v>258</v>
      </c>
      <c r="B259">
        <v>15</v>
      </c>
      <c r="D259" t="s">
        <v>739</v>
      </c>
      <c r="E259" t="s">
        <v>689</v>
      </c>
      <c r="F259">
        <v>7</v>
      </c>
      <c r="G259">
        <v>55</v>
      </c>
      <c r="J259" t="s">
        <v>740</v>
      </c>
      <c r="K259">
        <v>43.299559199999997</v>
      </c>
      <c r="L259">
        <v>13.5033733</v>
      </c>
      <c r="M259" t="s">
        <v>691</v>
      </c>
      <c r="N259" t="str">
        <f>TRIM(MID(M259,FIND(",",M259,FIND(",",M259)+1)+1,FIND(",",M259,FIND(",",M259,FIND(",",M259)+1)+1)-FIND(",",M259,FIND(",",M259)+1)-1))</f>
        <v>62010</v>
      </c>
    </row>
    <row r="260" spans="1:14" x14ac:dyDescent="0.3">
      <c r="A260">
        <v>259</v>
      </c>
      <c r="B260">
        <v>16</v>
      </c>
      <c r="D260" t="s">
        <v>741</v>
      </c>
      <c r="E260" t="s">
        <v>742</v>
      </c>
      <c r="F260">
        <v>6</v>
      </c>
      <c r="G260">
        <v>102</v>
      </c>
      <c r="J260" t="s">
        <v>743</v>
      </c>
      <c r="K260">
        <v>43.298235200000001</v>
      </c>
      <c r="L260">
        <v>13.4558038</v>
      </c>
      <c r="M260" t="s">
        <v>744</v>
      </c>
      <c r="N260" t="str">
        <f>TRIM(MID(M260,FIND(",",M260,FIND(",",M260)+1)+1,FIND(",",M260,FIND(",",M260,FIND(",",M260)+1)+1)-FIND(",",M260,FIND(",",M260)+1)-1))</f>
        <v>Centro storico</v>
      </c>
    </row>
    <row r="261" spans="1:14" x14ac:dyDescent="0.3">
      <c r="A261">
        <v>260</v>
      </c>
      <c r="B261">
        <v>16</v>
      </c>
      <c r="D261" t="s">
        <v>745</v>
      </c>
      <c r="E261" t="s">
        <v>746</v>
      </c>
      <c r="F261">
        <v>6</v>
      </c>
      <c r="G261">
        <v>60</v>
      </c>
      <c r="J261" t="s">
        <v>747</v>
      </c>
      <c r="K261">
        <v>43.2985349</v>
      </c>
      <c r="L261">
        <v>13.455591200000001</v>
      </c>
      <c r="M261" t="s">
        <v>748</v>
      </c>
      <c r="N261" t="str">
        <f>TRIM(MID(M261,FIND(",",M261,FIND(",",M261)+1)+1,FIND(",",M261,FIND(",",M261,FIND(",",M261)+1)+1)-FIND(",",M261,FIND(",",M261)+1)-1))</f>
        <v>Macerata</v>
      </c>
    </row>
    <row r="262" spans="1:14" x14ac:dyDescent="0.3">
      <c r="A262">
        <v>261</v>
      </c>
      <c r="B262">
        <v>16</v>
      </c>
      <c r="D262" t="s">
        <v>745</v>
      </c>
      <c r="E262" t="s">
        <v>746</v>
      </c>
      <c r="F262">
        <v>1</v>
      </c>
      <c r="G262">
        <v>35</v>
      </c>
      <c r="J262" t="s">
        <v>749</v>
      </c>
      <c r="K262">
        <v>43.2985349</v>
      </c>
      <c r="L262">
        <v>13.455591200000001</v>
      </c>
      <c r="M262" t="s">
        <v>748</v>
      </c>
      <c r="N262" t="str">
        <f>TRIM(MID(M262,FIND(",",M262,FIND(",",M262)+1)+1,FIND(",",M262,FIND(",",M262,FIND(",",M262)+1)+1)-FIND(",",M262,FIND(",",M262)+1)-1))</f>
        <v>Macerata</v>
      </c>
    </row>
    <row r="263" spans="1:14" x14ac:dyDescent="0.3">
      <c r="A263">
        <v>262</v>
      </c>
      <c r="B263">
        <v>16</v>
      </c>
      <c r="D263" t="s">
        <v>750</v>
      </c>
      <c r="E263" t="s">
        <v>751</v>
      </c>
      <c r="F263">
        <v>38</v>
      </c>
      <c r="G263">
        <v>38</v>
      </c>
      <c r="J263" t="s">
        <v>752</v>
      </c>
      <c r="K263">
        <v>43.296176099999997</v>
      </c>
      <c r="L263">
        <v>13.4570536</v>
      </c>
      <c r="M263" t="s">
        <v>753</v>
      </c>
      <c r="N263" t="str">
        <f>TRIM(MID(M263,FIND(",",M263,FIND(",",M263)+1)+1,FIND(",",M263,FIND(",",M263,FIND(",",M263)+1)+1)-FIND(",",M263,FIND(",",M263)+1)-1))</f>
        <v>Macerata</v>
      </c>
    </row>
    <row r="264" spans="1:14" x14ac:dyDescent="0.3">
      <c r="A264">
        <v>263</v>
      </c>
      <c r="B264">
        <v>16</v>
      </c>
      <c r="D264" t="s">
        <v>754</v>
      </c>
      <c r="E264" t="s">
        <v>681</v>
      </c>
      <c r="F264">
        <v>38</v>
      </c>
      <c r="G264">
        <v>80</v>
      </c>
      <c r="J264" t="s">
        <v>755</v>
      </c>
      <c r="K264">
        <v>43.295799299999999</v>
      </c>
      <c r="L264">
        <v>13.4624934</v>
      </c>
      <c r="M264" t="s">
        <v>683</v>
      </c>
      <c r="N264" t="str">
        <f>TRIM(MID(M264,FIND(",",M264,FIND(",",M264)+1)+1,FIND(",",M264,FIND(",",M264,FIND(",",M264)+1)+1)-FIND(",",M264,FIND(",",M264)+1)-1))</f>
        <v>Macerata</v>
      </c>
    </row>
    <row r="265" spans="1:14" x14ac:dyDescent="0.3">
      <c r="A265">
        <v>264</v>
      </c>
      <c r="B265">
        <v>16</v>
      </c>
      <c r="D265" t="s">
        <v>756</v>
      </c>
      <c r="E265" t="s">
        <v>685</v>
      </c>
      <c r="F265">
        <v>6</v>
      </c>
      <c r="G265">
        <v>84</v>
      </c>
      <c r="J265" t="s">
        <v>757</v>
      </c>
      <c r="K265">
        <v>43.295040299999997</v>
      </c>
      <c r="L265">
        <v>13.4629742</v>
      </c>
      <c r="M265" t="s">
        <v>687</v>
      </c>
      <c r="N265" t="str">
        <f>TRIM(MID(M265,FIND(",",M265,FIND(",",M265)+1)+1,FIND(",",M265,FIND(",",M265,FIND(",",M265)+1)+1)-FIND(",",M265,FIND(",",M265)+1)-1))</f>
        <v>Macerata</v>
      </c>
    </row>
    <row r="266" spans="1:14" x14ac:dyDescent="0.3">
      <c r="A266">
        <v>265</v>
      </c>
      <c r="B266">
        <v>16</v>
      </c>
      <c r="D266" t="s">
        <v>758</v>
      </c>
      <c r="E266" t="s">
        <v>758</v>
      </c>
      <c r="F266" t="s">
        <v>22</v>
      </c>
      <c r="G266" t="s">
        <v>22</v>
      </c>
      <c r="J266" t="s">
        <v>759</v>
      </c>
      <c r="K266">
        <v>43.298136499999998</v>
      </c>
      <c r="L266">
        <v>13.456580799999999</v>
      </c>
      <c r="M266" t="s">
        <v>760</v>
      </c>
      <c r="N266" t="str">
        <f>TRIM(MID(M266,FIND(",",M266,FIND(",",M266)+1)+1,FIND(",",M266,FIND(",",M266,FIND(",",M266)+1)+1)-FIND(",",M266,FIND(",",M266)+1)-1))</f>
        <v>Macerata</v>
      </c>
    </row>
    <row r="267" spans="1:14" x14ac:dyDescent="0.3">
      <c r="A267">
        <v>266</v>
      </c>
      <c r="B267">
        <v>16</v>
      </c>
      <c r="D267" t="s">
        <v>761</v>
      </c>
      <c r="E267" t="s">
        <v>762</v>
      </c>
      <c r="F267">
        <v>41</v>
      </c>
      <c r="G267">
        <v>41</v>
      </c>
      <c r="J267" t="s">
        <v>763</v>
      </c>
      <c r="K267">
        <v>43.295997900000003</v>
      </c>
      <c r="L267">
        <v>13.4579036</v>
      </c>
      <c r="M267" t="s">
        <v>764</v>
      </c>
      <c r="N267" t="str">
        <f>TRIM(MID(M267,FIND(",",M267,FIND(",",M267)+1)+1,FIND(",",M267,FIND(",",M267,FIND(",",M267)+1)+1)-FIND(",",M267,FIND(",",M267)+1)-1))</f>
        <v>Verdi</v>
      </c>
    </row>
    <row r="268" spans="1:14" x14ac:dyDescent="0.3">
      <c r="A268">
        <v>267</v>
      </c>
      <c r="B268">
        <v>16</v>
      </c>
      <c r="D268" t="s">
        <v>761</v>
      </c>
      <c r="E268" t="s">
        <v>762</v>
      </c>
      <c r="F268">
        <v>4</v>
      </c>
      <c r="G268">
        <v>72</v>
      </c>
      <c r="J268" t="s">
        <v>765</v>
      </c>
      <c r="K268">
        <v>43.2969121</v>
      </c>
      <c r="L268">
        <v>13.456371300000001</v>
      </c>
      <c r="M268" t="s">
        <v>766</v>
      </c>
      <c r="N268" t="str">
        <f>TRIM(MID(M268,FIND(",",M268,FIND(",",M268)+1)+1,FIND(",",M268,FIND(",",M268,FIND(",",M268)+1)+1)-FIND(",",M268,FIND(",",M268)+1)-1))</f>
        <v>Verdi</v>
      </c>
    </row>
    <row r="269" spans="1:14" x14ac:dyDescent="0.3">
      <c r="A269">
        <v>268</v>
      </c>
      <c r="B269">
        <v>16</v>
      </c>
      <c r="D269" t="s">
        <v>767</v>
      </c>
      <c r="E269" t="s">
        <v>767</v>
      </c>
      <c r="F269" t="s">
        <v>22</v>
      </c>
      <c r="G269" t="s">
        <v>22</v>
      </c>
      <c r="J269" t="s">
        <v>768</v>
      </c>
      <c r="K269">
        <v>43.297550600000001</v>
      </c>
      <c r="L269">
        <v>13.4561528</v>
      </c>
      <c r="M269" t="s">
        <v>769</v>
      </c>
      <c r="N269" t="str">
        <f>TRIM(MID(M269,FIND(",",M269,FIND(",",M269)+1)+1,FIND(",",M269,FIND(",",M269,FIND(",",M269)+1)+1)-FIND(",",M269,FIND(",",M269)+1)-1))</f>
        <v>Macerata</v>
      </c>
    </row>
    <row r="270" spans="1:14" x14ac:dyDescent="0.3">
      <c r="A270">
        <v>269</v>
      </c>
      <c r="B270">
        <v>17</v>
      </c>
      <c r="D270" t="s">
        <v>770</v>
      </c>
      <c r="E270" t="s">
        <v>771</v>
      </c>
      <c r="F270">
        <v>3</v>
      </c>
      <c r="G270">
        <v>3</v>
      </c>
      <c r="J270" t="s">
        <v>772</v>
      </c>
      <c r="N270" t="e">
        <f>TRIM(MID(M270,FIND(",",M270,FIND(",",M270)+1)+1,FIND(",",M270,FIND(",",M270,FIND(",",M270)+1)+1)-FIND(",",M270,FIND(",",M270)+1)-1))</f>
        <v>#VALUE!</v>
      </c>
    </row>
    <row r="271" spans="1:14" x14ac:dyDescent="0.3">
      <c r="A271">
        <v>270</v>
      </c>
      <c r="B271">
        <v>17</v>
      </c>
      <c r="D271" t="s">
        <v>770</v>
      </c>
      <c r="E271" t="s">
        <v>771</v>
      </c>
      <c r="F271">
        <v>4</v>
      </c>
      <c r="G271">
        <v>4</v>
      </c>
      <c r="J271" t="s">
        <v>773</v>
      </c>
      <c r="N271" t="e">
        <f>TRIM(MID(M271,FIND(",",M271,FIND(",",M271)+1)+1,FIND(",",M271,FIND(",",M271,FIND(",",M271)+1)+1)-FIND(",",M271,FIND(",",M271)+1)-1))</f>
        <v>#VALUE!</v>
      </c>
    </row>
    <row r="272" spans="1:14" x14ac:dyDescent="0.3">
      <c r="A272">
        <v>271</v>
      </c>
      <c r="B272">
        <v>17</v>
      </c>
      <c r="D272" t="s">
        <v>774</v>
      </c>
      <c r="E272" t="s">
        <v>775</v>
      </c>
      <c r="F272">
        <v>35</v>
      </c>
      <c r="G272">
        <v>103</v>
      </c>
      <c r="J272" t="s">
        <v>776</v>
      </c>
      <c r="K272">
        <v>43.427890300000001</v>
      </c>
      <c r="L272">
        <v>13.6614507</v>
      </c>
      <c r="M272" t="s">
        <v>777</v>
      </c>
      <c r="N272" t="str">
        <f>TRIM(MID(M272,FIND(",",M272,FIND(",",M272)+1)+1,FIND(",",M272,FIND(",",M272,FIND(",",M272)+1)+1)-FIND(",",M272,FIND(",",M272)+1)-1))</f>
        <v>Porto Recanati</v>
      </c>
    </row>
    <row r="273" spans="1:14" x14ac:dyDescent="0.3">
      <c r="A273">
        <v>272</v>
      </c>
      <c r="B273">
        <v>17</v>
      </c>
      <c r="D273" t="s">
        <v>774</v>
      </c>
      <c r="E273" t="s">
        <v>775</v>
      </c>
      <c r="F273">
        <v>2</v>
      </c>
      <c r="G273">
        <v>2</v>
      </c>
      <c r="J273" t="s">
        <v>778</v>
      </c>
      <c r="K273">
        <v>43.426910499999998</v>
      </c>
      <c r="L273">
        <v>13.661275</v>
      </c>
      <c r="M273" t="s">
        <v>779</v>
      </c>
      <c r="N273" t="str">
        <f>TRIM(MID(M273,FIND(",",M273,FIND(",",M273)+1)+1,FIND(",",M273,FIND(",",M273,FIND(",",M273)+1)+1)-FIND(",",M273,FIND(",",M273)+1)-1))</f>
        <v>Porto Recanati</v>
      </c>
    </row>
    <row r="274" spans="1:14" x14ac:dyDescent="0.3">
      <c r="A274">
        <v>273</v>
      </c>
      <c r="B274">
        <v>17</v>
      </c>
      <c r="D274" t="s">
        <v>780</v>
      </c>
      <c r="E274" t="s">
        <v>107</v>
      </c>
      <c r="F274">
        <v>11</v>
      </c>
      <c r="G274">
        <v>11</v>
      </c>
      <c r="J274" t="s">
        <v>781</v>
      </c>
      <c r="K274">
        <v>43.4335308</v>
      </c>
      <c r="L274">
        <v>13.6606603</v>
      </c>
      <c r="M274" t="s">
        <v>782</v>
      </c>
      <c r="N274" t="str">
        <f>TRIM(MID(M274,FIND(",",M274,FIND(",",M274)+1)+1,FIND(",",M274,FIND(",",M274,FIND(",",M274)+1)+1)-FIND(",",M274,FIND(",",M274)+1)-1))</f>
        <v>Macerata</v>
      </c>
    </row>
    <row r="275" spans="1:14" x14ac:dyDescent="0.3">
      <c r="A275">
        <v>274</v>
      </c>
      <c r="B275">
        <v>17</v>
      </c>
      <c r="D275" t="s">
        <v>783</v>
      </c>
      <c r="E275" t="s">
        <v>685</v>
      </c>
      <c r="F275">
        <v>1</v>
      </c>
      <c r="G275">
        <v>3</v>
      </c>
      <c r="J275" t="s">
        <v>784</v>
      </c>
      <c r="K275">
        <v>43.2954948</v>
      </c>
      <c r="L275">
        <v>13.4598376</v>
      </c>
      <c r="M275" t="s">
        <v>785</v>
      </c>
      <c r="N275" t="str">
        <f>TRIM(MID(M275,FIND(",",M275,FIND(",",M275)+1)+1,FIND(",",M275,FIND(",",M275,FIND(",",M275)+1)+1)-FIND(",",M275,FIND(",",M275)+1)-1))</f>
        <v>Via Vincenzo Pancalducci</v>
      </c>
    </row>
    <row r="276" spans="1:14" x14ac:dyDescent="0.3">
      <c r="A276">
        <v>275</v>
      </c>
      <c r="B276">
        <v>17</v>
      </c>
      <c r="D276" t="s">
        <v>786</v>
      </c>
      <c r="E276" t="s">
        <v>787</v>
      </c>
      <c r="F276">
        <v>4</v>
      </c>
      <c r="G276">
        <v>16</v>
      </c>
      <c r="J276" t="s">
        <v>788</v>
      </c>
      <c r="K276">
        <v>43.295144100000002</v>
      </c>
      <c r="L276">
        <v>13.4566856</v>
      </c>
      <c r="M276" t="s">
        <v>789</v>
      </c>
      <c r="N276" t="str">
        <f>TRIM(MID(M276,FIND(",",M276,FIND(",",M276)+1)+1,FIND(",",M276,FIND(",",M276,FIND(",",M276)+1)+1)-FIND(",",M276,FIND(",",M276)+1)-1))</f>
        <v>Macerata</v>
      </c>
    </row>
    <row r="277" spans="1:14" x14ac:dyDescent="0.3">
      <c r="A277">
        <v>276</v>
      </c>
      <c r="B277">
        <v>17</v>
      </c>
      <c r="D277" t="s">
        <v>790</v>
      </c>
      <c r="E277" t="s">
        <v>790</v>
      </c>
      <c r="F277" t="s">
        <v>22</v>
      </c>
      <c r="G277" t="s">
        <v>22</v>
      </c>
      <c r="J277" t="s">
        <v>791</v>
      </c>
      <c r="K277">
        <v>43.2934603</v>
      </c>
      <c r="L277">
        <v>13.4565397</v>
      </c>
      <c r="M277" t="s">
        <v>792</v>
      </c>
      <c r="N277" t="str">
        <f>TRIM(MID(M277,FIND(",",M277,FIND(",",M277)+1)+1,FIND(",",M277,FIND(",",M277,FIND(",",M277)+1)+1)-FIND(",",M277,FIND(",",M277)+1)-1))</f>
        <v>Macerata</v>
      </c>
    </row>
    <row r="278" spans="1:14" x14ac:dyDescent="0.3">
      <c r="A278">
        <v>277</v>
      </c>
      <c r="B278">
        <v>17</v>
      </c>
      <c r="D278" t="s">
        <v>793</v>
      </c>
      <c r="E278" t="s">
        <v>794</v>
      </c>
      <c r="F278">
        <v>1</v>
      </c>
      <c r="G278">
        <v>1</v>
      </c>
      <c r="J278" t="s">
        <v>795</v>
      </c>
      <c r="K278">
        <v>43.290460299999999</v>
      </c>
      <c r="L278">
        <v>13.456679599999999</v>
      </c>
      <c r="M278" t="s">
        <v>796</v>
      </c>
      <c r="N278" t="str">
        <f>TRIM(MID(M278,FIND(",",M278,FIND(",",M278)+1)+1,FIND(",",M278,FIND(",",M278,FIND(",",M278)+1)+1)-FIND(",",M278,FIND(",",M278)+1)-1))</f>
        <v>Macerata</v>
      </c>
    </row>
    <row r="279" spans="1:14" x14ac:dyDescent="0.3">
      <c r="A279">
        <v>278</v>
      </c>
      <c r="B279">
        <v>17</v>
      </c>
      <c r="D279" t="s">
        <v>797</v>
      </c>
      <c r="E279" t="s">
        <v>797</v>
      </c>
      <c r="F279" t="s">
        <v>22</v>
      </c>
      <c r="G279" t="s">
        <v>22</v>
      </c>
      <c r="J279" t="s">
        <v>798</v>
      </c>
      <c r="K279">
        <v>43.293295700000002</v>
      </c>
      <c r="L279">
        <v>13.4591169</v>
      </c>
      <c r="M279" t="s">
        <v>799</v>
      </c>
      <c r="N279" t="str">
        <f>TRIM(MID(M279,FIND(",",M279,FIND(",",M279)+1)+1,FIND(",",M279,FIND(",",M279,FIND(",",M279)+1)+1)-FIND(",",M279,FIND(",",M279)+1)-1))</f>
        <v>Macerata</v>
      </c>
    </row>
    <row r="280" spans="1:14" x14ac:dyDescent="0.3">
      <c r="A280">
        <v>279</v>
      </c>
      <c r="B280">
        <v>17</v>
      </c>
      <c r="D280" t="s">
        <v>800</v>
      </c>
      <c r="E280" t="s">
        <v>800</v>
      </c>
      <c r="F280" t="s">
        <v>22</v>
      </c>
      <c r="G280" t="s">
        <v>22</v>
      </c>
      <c r="J280" t="s">
        <v>801</v>
      </c>
      <c r="K280">
        <v>43.284627</v>
      </c>
      <c r="L280">
        <v>13.3286251</v>
      </c>
      <c r="M280" t="s">
        <v>802</v>
      </c>
      <c r="N280" t="str">
        <f>TRIM(MID(M280,FIND(",",M280,FIND(",",M280)+1)+1,FIND(",",M280,FIND(",",M280,FIND(",",M280)+1)+1)-FIND(",",M280,FIND(",",M280)+1)-1))</f>
        <v>Treia</v>
      </c>
    </row>
    <row r="281" spans="1:14" x14ac:dyDescent="0.3">
      <c r="A281">
        <v>280</v>
      </c>
      <c r="B281">
        <v>17</v>
      </c>
      <c r="D281" t="s">
        <v>803</v>
      </c>
      <c r="E281" t="s">
        <v>803</v>
      </c>
      <c r="F281" t="s">
        <v>22</v>
      </c>
      <c r="G281" t="s">
        <v>22</v>
      </c>
      <c r="J281" t="s">
        <v>804</v>
      </c>
      <c r="K281">
        <v>43.292422600000002</v>
      </c>
      <c r="L281">
        <v>13.4594626</v>
      </c>
      <c r="M281" t="s">
        <v>805</v>
      </c>
      <c r="N281" t="str">
        <f>TRIM(MID(M281,FIND(",",M281,FIND(",",M281)+1)+1,FIND(",",M281,FIND(",",M281,FIND(",",M281)+1)+1)-FIND(",",M281,FIND(",",M281)+1)-1))</f>
        <v>Macerata</v>
      </c>
    </row>
    <row r="282" spans="1:14" x14ac:dyDescent="0.3">
      <c r="A282">
        <v>281</v>
      </c>
      <c r="B282">
        <v>17</v>
      </c>
      <c r="D282" t="s">
        <v>806</v>
      </c>
      <c r="E282" t="s">
        <v>807</v>
      </c>
      <c r="F282">
        <v>4</v>
      </c>
      <c r="G282">
        <v>66</v>
      </c>
      <c r="J282" t="s">
        <v>808</v>
      </c>
      <c r="K282">
        <v>43.2931338</v>
      </c>
      <c r="L282">
        <v>13.458748399999999</v>
      </c>
      <c r="M282" t="s">
        <v>809</v>
      </c>
      <c r="N282" t="str">
        <f>TRIM(MID(M282,FIND(",",M282,FIND(",",M282)+1)+1,FIND(",",M282,FIND(",",M282,FIND(",",M282)+1)+1)-FIND(",",M282,FIND(",",M282)+1)-1))</f>
        <v>Macerata</v>
      </c>
    </row>
    <row r="283" spans="1:14" x14ac:dyDescent="0.3">
      <c r="A283">
        <v>282</v>
      </c>
      <c r="B283">
        <v>17</v>
      </c>
      <c r="D283" t="s">
        <v>806</v>
      </c>
      <c r="E283" t="s">
        <v>807</v>
      </c>
      <c r="F283">
        <v>9</v>
      </c>
      <c r="G283">
        <v>25</v>
      </c>
      <c r="J283" t="s">
        <v>810</v>
      </c>
      <c r="K283">
        <v>43.2931338</v>
      </c>
      <c r="L283">
        <v>13.458748399999999</v>
      </c>
      <c r="M283" t="s">
        <v>809</v>
      </c>
      <c r="N283" t="str">
        <f>TRIM(MID(M283,FIND(",",M283,FIND(",",M283)+1)+1,FIND(",",M283,FIND(",",M283,FIND(",",M283)+1)+1)-FIND(",",M283,FIND(",",M283)+1)-1))</f>
        <v>Macerata</v>
      </c>
    </row>
    <row r="284" spans="1:14" x14ac:dyDescent="0.3">
      <c r="A284">
        <v>283</v>
      </c>
      <c r="B284">
        <v>17</v>
      </c>
      <c r="D284" t="s">
        <v>811</v>
      </c>
      <c r="E284" t="s">
        <v>811</v>
      </c>
      <c r="F284" t="s">
        <v>22</v>
      </c>
      <c r="G284" t="s">
        <v>22</v>
      </c>
      <c r="J284" t="s">
        <v>812</v>
      </c>
      <c r="K284">
        <v>43.294248199999998</v>
      </c>
      <c r="L284">
        <v>13.456966400000001</v>
      </c>
      <c r="M284" t="s">
        <v>813</v>
      </c>
      <c r="N284" t="str">
        <f>TRIM(MID(M284,FIND(",",M284,FIND(",",M284)+1)+1,FIND(",",M284,FIND(",",M284,FIND(",",M284)+1)+1)-FIND(",",M284,FIND(",",M284)+1)-1))</f>
        <v>Macerata</v>
      </c>
    </row>
    <row r="285" spans="1:14" x14ac:dyDescent="0.3">
      <c r="A285">
        <v>284</v>
      </c>
      <c r="B285">
        <v>17</v>
      </c>
      <c r="D285" t="s">
        <v>814</v>
      </c>
      <c r="E285" t="s">
        <v>815</v>
      </c>
      <c r="F285">
        <v>1</v>
      </c>
      <c r="G285">
        <v>31</v>
      </c>
      <c r="J285" t="s">
        <v>816</v>
      </c>
      <c r="K285">
        <v>43.293632799999997</v>
      </c>
      <c r="L285">
        <v>13.4559909</v>
      </c>
      <c r="M285" t="s">
        <v>817</v>
      </c>
      <c r="N285" t="str">
        <f>TRIM(MID(M285,FIND(",",M285,FIND(",",M285)+1)+1,FIND(",",M285,FIND(",",M285,FIND(",",M285)+1)+1)-FIND(",",M285,FIND(",",M285)+1)-1))</f>
        <v>Verdi</v>
      </c>
    </row>
    <row r="286" spans="1:14" x14ac:dyDescent="0.3">
      <c r="A286">
        <v>285</v>
      </c>
      <c r="B286">
        <v>17</v>
      </c>
      <c r="D286" t="s">
        <v>814</v>
      </c>
      <c r="E286" t="s">
        <v>815</v>
      </c>
      <c r="F286">
        <v>2</v>
      </c>
      <c r="G286">
        <v>10</v>
      </c>
      <c r="J286" t="s">
        <v>818</v>
      </c>
      <c r="K286">
        <v>43.293693099999999</v>
      </c>
      <c r="L286">
        <v>13.455914999999999</v>
      </c>
      <c r="M286" t="s">
        <v>819</v>
      </c>
      <c r="N286" t="str">
        <f>TRIM(MID(M286,FIND(",",M286,FIND(",",M286)+1)+1,FIND(",",M286,FIND(",",M286,FIND(",",M286)+1)+1)-FIND(",",M286,FIND(",",M286)+1)-1))</f>
        <v>Verdi</v>
      </c>
    </row>
    <row r="287" spans="1:14" x14ac:dyDescent="0.3">
      <c r="A287">
        <v>286</v>
      </c>
      <c r="B287">
        <v>18</v>
      </c>
      <c r="D287" t="s">
        <v>820</v>
      </c>
      <c r="E287" t="s">
        <v>820</v>
      </c>
      <c r="F287" t="s">
        <v>22</v>
      </c>
      <c r="G287" t="s">
        <v>22</v>
      </c>
      <c r="J287" t="s">
        <v>821</v>
      </c>
      <c r="N287" t="e">
        <f>TRIM(MID(M287,FIND(",",M287,FIND(",",M287)+1)+1,FIND(",",M287,FIND(",",M287,FIND(",",M287)+1)+1)-FIND(",",M287,FIND(",",M287)+1)-1))</f>
        <v>#VALUE!</v>
      </c>
    </row>
    <row r="288" spans="1:14" x14ac:dyDescent="0.3">
      <c r="A288">
        <v>287</v>
      </c>
      <c r="B288">
        <v>18</v>
      </c>
      <c r="D288" t="s">
        <v>822</v>
      </c>
      <c r="E288" t="s">
        <v>822</v>
      </c>
      <c r="F288" t="s">
        <v>22</v>
      </c>
      <c r="G288" t="s">
        <v>22</v>
      </c>
      <c r="J288" t="s">
        <v>823</v>
      </c>
      <c r="K288">
        <v>43.293570600000002</v>
      </c>
      <c r="L288">
        <v>13.462005599999999</v>
      </c>
      <c r="M288" t="s">
        <v>824</v>
      </c>
      <c r="N288" t="str">
        <f>TRIM(MID(M288,FIND(",",M288,FIND(",",M288)+1)+1,FIND(",",M288,FIND(",",M288,FIND(",",M288)+1)+1)-FIND(",",M288,FIND(",",M288)+1)-1))</f>
        <v>Macerata</v>
      </c>
    </row>
    <row r="289" spans="1:14" x14ac:dyDescent="0.3">
      <c r="A289">
        <v>288</v>
      </c>
      <c r="B289">
        <v>18</v>
      </c>
      <c r="D289" t="s">
        <v>825</v>
      </c>
      <c r="E289" t="s">
        <v>826</v>
      </c>
      <c r="F289">
        <v>1</v>
      </c>
      <c r="G289">
        <v>43</v>
      </c>
      <c r="J289" t="s">
        <v>827</v>
      </c>
      <c r="K289">
        <v>43.291445099999997</v>
      </c>
      <c r="L289">
        <v>13.4568829</v>
      </c>
      <c r="M289" t="s">
        <v>828</v>
      </c>
      <c r="N289" t="str">
        <f>TRIM(MID(M289,FIND(",",M289,FIND(",",M289)+1)+1,FIND(",",M289,FIND(",",M289,FIND(",",M289)+1)+1)-FIND(",",M289,FIND(",",M289)+1)-1))</f>
        <v>Macerata</v>
      </c>
    </row>
    <row r="290" spans="1:14" x14ac:dyDescent="0.3">
      <c r="A290">
        <v>289</v>
      </c>
      <c r="B290">
        <v>18</v>
      </c>
      <c r="D290" t="s">
        <v>825</v>
      </c>
      <c r="E290" t="s">
        <v>826</v>
      </c>
      <c r="F290">
        <v>2</v>
      </c>
      <c r="G290">
        <v>20</v>
      </c>
      <c r="J290" t="s">
        <v>829</v>
      </c>
      <c r="K290">
        <v>43.291445099999997</v>
      </c>
      <c r="L290">
        <v>13.4568829</v>
      </c>
      <c r="M290" t="s">
        <v>828</v>
      </c>
      <c r="N290" t="str">
        <f>TRIM(MID(M290,FIND(",",M290,FIND(",",M290)+1)+1,FIND(",",M290,FIND(",",M290,FIND(",",M290)+1)+1)-FIND(",",M290,FIND(",",M290)+1)-1))</f>
        <v>Macerata</v>
      </c>
    </row>
    <row r="291" spans="1:14" x14ac:dyDescent="0.3">
      <c r="A291">
        <v>290</v>
      </c>
      <c r="B291">
        <v>18</v>
      </c>
      <c r="D291" t="s">
        <v>830</v>
      </c>
      <c r="E291" t="s">
        <v>775</v>
      </c>
      <c r="F291">
        <v>4</v>
      </c>
      <c r="G291">
        <v>14</v>
      </c>
      <c r="J291" t="s">
        <v>831</v>
      </c>
      <c r="K291">
        <v>43.426939599999997</v>
      </c>
      <c r="L291">
        <v>13.661245600000001</v>
      </c>
      <c r="M291" t="s">
        <v>832</v>
      </c>
      <c r="N291" t="str">
        <f>TRIM(MID(M291,FIND(",",M291,FIND(",",M291)+1)+1,FIND(",",M291,FIND(",",M291,FIND(",",M291)+1)+1)-FIND(",",M291,FIND(",",M291)+1)-1))</f>
        <v>Porto Recanati</v>
      </c>
    </row>
    <row r="292" spans="1:14" x14ac:dyDescent="0.3">
      <c r="A292">
        <v>291</v>
      </c>
      <c r="B292">
        <v>18</v>
      </c>
      <c r="D292" t="s">
        <v>833</v>
      </c>
      <c r="E292" t="s">
        <v>834</v>
      </c>
      <c r="F292">
        <v>90</v>
      </c>
      <c r="G292">
        <v>114</v>
      </c>
      <c r="J292" t="s">
        <v>835</v>
      </c>
      <c r="K292">
        <v>43.289898999999998</v>
      </c>
      <c r="L292">
        <v>13.6454889</v>
      </c>
      <c r="M292" t="s">
        <v>836</v>
      </c>
      <c r="N292" t="str">
        <f>TRIM(MID(M292,FIND(",",M292,FIND(",",M292)+1)+1,FIND(",",M292,FIND(",",M292,FIND(",",M292)+1)+1)-FIND(",",M292,FIND(",",M292)+1)-1))</f>
        <v>Montecosaro Scalo</v>
      </c>
    </row>
    <row r="293" spans="1:14" x14ac:dyDescent="0.3">
      <c r="A293">
        <v>292</v>
      </c>
      <c r="B293">
        <v>18</v>
      </c>
      <c r="D293" t="s">
        <v>837</v>
      </c>
      <c r="E293" t="s">
        <v>837</v>
      </c>
      <c r="F293" t="s">
        <v>22</v>
      </c>
      <c r="G293" t="s">
        <v>22</v>
      </c>
      <c r="J293" t="s">
        <v>838</v>
      </c>
      <c r="K293">
        <v>43.291327500000001</v>
      </c>
      <c r="L293">
        <v>13.457598000000001</v>
      </c>
      <c r="M293" t="s">
        <v>839</v>
      </c>
      <c r="N293" t="str">
        <f>TRIM(MID(M293,FIND(",",M293,FIND(",",M293)+1)+1,FIND(",",M293,FIND(",",M293,FIND(",",M293)+1)+1)-FIND(",",M293,FIND(",",M293)+1)-1))</f>
        <v>Macerata</v>
      </c>
    </row>
    <row r="294" spans="1:14" x14ac:dyDescent="0.3">
      <c r="A294">
        <v>293</v>
      </c>
      <c r="B294">
        <v>18</v>
      </c>
      <c r="D294" t="s">
        <v>840</v>
      </c>
      <c r="E294" t="s">
        <v>840</v>
      </c>
      <c r="F294" t="s">
        <v>22</v>
      </c>
      <c r="G294" t="s">
        <v>22</v>
      </c>
      <c r="J294" t="s">
        <v>841</v>
      </c>
      <c r="K294">
        <v>43.291979300000001</v>
      </c>
      <c r="L294">
        <v>13.4605874</v>
      </c>
      <c r="M294" t="s">
        <v>842</v>
      </c>
      <c r="N294" t="str">
        <f>TRIM(MID(M294,FIND(",",M294,FIND(",",M294)+1)+1,FIND(",",M294,FIND(",",M294,FIND(",",M294)+1)+1)-FIND(",",M294,FIND(",",M294)+1)-1))</f>
        <v>Macerata</v>
      </c>
    </row>
    <row r="295" spans="1:14" x14ac:dyDescent="0.3">
      <c r="A295">
        <v>294</v>
      </c>
      <c r="B295">
        <v>18</v>
      </c>
      <c r="D295" t="s">
        <v>843</v>
      </c>
      <c r="E295" t="s">
        <v>794</v>
      </c>
      <c r="F295">
        <v>13</v>
      </c>
      <c r="G295">
        <v>19</v>
      </c>
      <c r="J295" t="s">
        <v>844</v>
      </c>
      <c r="K295">
        <v>43.290460299999999</v>
      </c>
      <c r="L295">
        <v>13.456679599999999</v>
      </c>
      <c r="M295" t="s">
        <v>796</v>
      </c>
      <c r="N295" t="str">
        <f>TRIM(MID(M295,FIND(",",M295,FIND(",",M295)+1)+1,FIND(",",M295,FIND(",",M295,FIND(",",M295)+1)+1)-FIND(",",M295,FIND(",",M295)+1)-1))</f>
        <v>Macerata</v>
      </c>
    </row>
    <row r="296" spans="1:14" x14ac:dyDescent="0.3">
      <c r="A296">
        <v>295</v>
      </c>
      <c r="B296">
        <v>18</v>
      </c>
      <c r="D296" t="s">
        <v>843</v>
      </c>
      <c r="E296" t="s">
        <v>794</v>
      </c>
      <c r="F296">
        <v>2</v>
      </c>
      <c r="G296">
        <v>40</v>
      </c>
      <c r="J296" t="s">
        <v>845</v>
      </c>
      <c r="K296">
        <v>43.292802700000003</v>
      </c>
      <c r="L296">
        <v>13.461247999999999</v>
      </c>
      <c r="M296" t="s">
        <v>846</v>
      </c>
      <c r="N296" t="str">
        <f>TRIM(MID(M296,FIND(",",M296,FIND(",",M296)+1)+1,FIND(",",M296,FIND(",",M296,FIND(",",M296)+1)+1)-FIND(",",M296,FIND(",",M296)+1)-1))</f>
        <v>Santa Lucia</v>
      </c>
    </row>
    <row r="297" spans="1:14" x14ac:dyDescent="0.3">
      <c r="A297">
        <v>296</v>
      </c>
      <c r="B297">
        <v>18</v>
      </c>
      <c r="D297" t="s">
        <v>847</v>
      </c>
      <c r="E297" t="s">
        <v>807</v>
      </c>
      <c r="F297">
        <v>3</v>
      </c>
      <c r="G297">
        <v>7</v>
      </c>
      <c r="J297" t="s">
        <v>848</v>
      </c>
      <c r="K297">
        <v>43.292916900000002</v>
      </c>
      <c r="L297">
        <v>13.4589739</v>
      </c>
      <c r="M297" t="s">
        <v>849</v>
      </c>
      <c r="N297" t="str">
        <f>TRIM(MID(M297,FIND(",",M297,FIND(",",M297)+1)+1,FIND(",",M297,FIND(",",M297,FIND(",",M297)+1)+1)-FIND(",",M297,FIND(",",M297)+1)-1))</f>
        <v>Santa Lucia</v>
      </c>
    </row>
    <row r="298" spans="1:14" x14ac:dyDescent="0.3">
      <c r="A298">
        <v>297</v>
      </c>
      <c r="B298">
        <v>18</v>
      </c>
      <c r="D298" t="s">
        <v>850</v>
      </c>
      <c r="E298" t="s">
        <v>851</v>
      </c>
      <c r="F298">
        <v>9</v>
      </c>
      <c r="G298">
        <v>61</v>
      </c>
      <c r="J298" t="s">
        <v>852</v>
      </c>
      <c r="K298">
        <v>43.291792999999998</v>
      </c>
      <c r="L298">
        <v>13.456865499999999</v>
      </c>
      <c r="M298" t="s">
        <v>853</v>
      </c>
      <c r="N298" t="str">
        <f>TRIM(MID(M298,FIND(",",M298,FIND(",",M298)+1)+1,FIND(",",M298,FIND(",",M298,FIND(",",M298)+1)+1)-FIND(",",M298,FIND(",",M298)+1)-1))</f>
        <v>Macerata</v>
      </c>
    </row>
    <row r="299" spans="1:14" x14ac:dyDescent="0.3">
      <c r="A299">
        <v>298</v>
      </c>
      <c r="B299">
        <v>19</v>
      </c>
      <c r="D299" t="s">
        <v>854</v>
      </c>
      <c r="E299" t="s">
        <v>854</v>
      </c>
      <c r="F299" t="s">
        <v>22</v>
      </c>
      <c r="G299" t="s">
        <v>22</v>
      </c>
      <c r="J299" t="s">
        <v>855</v>
      </c>
      <c r="K299">
        <v>43.279642600000003</v>
      </c>
      <c r="L299">
        <v>13.448708099999999</v>
      </c>
      <c r="M299" t="s">
        <v>856</v>
      </c>
      <c r="N299" t="str">
        <f>TRIM(MID(M299,FIND(",",M299,FIND(",",M299)+1)+1,FIND(",",M299,FIND(",",M299,FIND(",",M299)+1)+1)-FIND(",",M299,FIND(",",M299)+1)-1))</f>
        <v>Macerata</v>
      </c>
    </row>
    <row r="300" spans="1:14" x14ac:dyDescent="0.3">
      <c r="A300">
        <v>299</v>
      </c>
      <c r="B300">
        <v>19</v>
      </c>
      <c r="D300" t="s">
        <v>857</v>
      </c>
      <c r="E300" t="s">
        <v>857</v>
      </c>
      <c r="F300" t="s">
        <v>22</v>
      </c>
      <c r="G300" t="s">
        <v>22</v>
      </c>
      <c r="J300" t="s">
        <v>858</v>
      </c>
      <c r="K300">
        <v>43.288994099999996</v>
      </c>
      <c r="L300">
        <v>13.445305100000001</v>
      </c>
      <c r="M300" t="s">
        <v>859</v>
      </c>
      <c r="N300" t="str">
        <f>TRIM(MID(M300,FIND(",",M300,FIND(",",M300)+1)+1,FIND(",",M300,FIND(",",M300,FIND(",",M300)+1)+1)-FIND(",",M300,FIND(",",M300)+1)-1))</f>
        <v>Macerata</v>
      </c>
    </row>
    <row r="301" spans="1:14" x14ac:dyDescent="0.3">
      <c r="A301">
        <v>300</v>
      </c>
      <c r="B301">
        <v>19</v>
      </c>
      <c r="D301" t="s">
        <v>860</v>
      </c>
      <c r="E301" t="s">
        <v>860</v>
      </c>
      <c r="F301" t="s">
        <v>22</v>
      </c>
      <c r="G301" t="s">
        <v>22</v>
      </c>
      <c r="J301" t="s">
        <v>861</v>
      </c>
      <c r="K301">
        <v>43.287667999999996</v>
      </c>
      <c r="L301">
        <v>13.449460999999999</v>
      </c>
      <c r="M301" t="s">
        <v>862</v>
      </c>
      <c r="N301" t="str">
        <f>TRIM(MID(M301,FIND(",",M301,FIND(",",M301)+1)+1,FIND(",",M301,FIND(",",M301,FIND(",",M301)+1)+1)-FIND(",",M301,FIND(",",M301)+1)-1))</f>
        <v>Macerata</v>
      </c>
    </row>
    <row r="302" spans="1:14" x14ac:dyDescent="0.3">
      <c r="A302">
        <v>301</v>
      </c>
      <c r="B302">
        <v>19</v>
      </c>
      <c r="D302" t="s">
        <v>863</v>
      </c>
      <c r="E302" t="s">
        <v>863</v>
      </c>
      <c r="F302" t="s">
        <v>22</v>
      </c>
      <c r="G302" t="s">
        <v>22</v>
      </c>
      <c r="J302" t="s">
        <v>864</v>
      </c>
      <c r="K302">
        <v>43.285425799999999</v>
      </c>
      <c r="L302">
        <v>13.4490459</v>
      </c>
      <c r="M302" t="s">
        <v>865</v>
      </c>
      <c r="N302" t="str">
        <f>TRIM(MID(M302,FIND(",",M302,FIND(",",M302)+1)+1,FIND(",",M302,FIND(",",M302,FIND(",",M302)+1)+1)-FIND(",",M302,FIND(",",M302)+1)-1))</f>
        <v>Macerata</v>
      </c>
    </row>
    <row r="303" spans="1:14" x14ac:dyDescent="0.3">
      <c r="A303">
        <v>302</v>
      </c>
      <c r="B303">
        <v>19</v>
      </c>
      <c r="D303" t="s">
        <v>866</v>
      </c>
      <c r="E303" t="s">
        <v>866</v>
      </c>
      <c r="F303" t="s">
        <v>22</v>
      </c>
      <c r="G303" t="s">
        <v>22</v>
      </c>
      <c r="J303" t="s">
        <v>867</v>
      </c>
      <c r="K303">
        <v>43.285849599999999</v>
      </c>
      <c r="L303">
        <v>13.4468766</v>
      </c>
      <c r="M303" t="s">
        <v>868</v>
      </c>
      <c r="N303" t="str">
        <f>TRIM(MID(M303,FIND(",",M303,FIND(",",M303)+1)+1,FIND(",",M303,FIND(",",M303,FIND(",",M303)+1)+1)-FIND(",",M303,FIND(",",M303)+1)-1))</f>
        <v>Macerata</v>
      </c>
    </row>
    <row r="304" spans="1:14" x14ac:dyDescent="0.3">
      <c r="A304">
        <v>303</v>
      </c>
      <c r="B304">
        <v>19</v>
      </c>
      <c r="D304" t="s">
        <v>869</v>
      </c>
      <c r="E304" t="s">
        <v>869</v>
      </c>
      <c r="F304" t="s">
        <v>22</v>
      </c>
      <c r="G304" t="s">
        <v>22</v>
      </c>
      <c r="J304" t="s">
        <v>870</v>
      </c>
      <c r="K304">
        <v>43.289929399999998</v>
      </c>
      <c r="L304">
        <v>13.4524106</v>
      </c>
      <c r="M304" t="s">
        <v>871</v>
      </c>
      <c r="N304" t="str">
        <f>TRIM(MID(M304,FIND(",",M304,FIND(",",M304)+1)+1,FIND(",",M304,FIND(",",M304,FIND(",",M304)+1)+1)-FIND(",",M304,FIND(",",M304)+1)-1))</f>
        <v>Macerata</v>
      </c>
    </row>
    <row r="305" spans="1:14" x14ac:dyDescent="0.3">
      <c r="A305">
        <v>304</v>
      </c>
      <c r="B305">
        <v>19</v>
      </c>
      <c r="D305" t="s">
        <v>872</v>
      </c>
      <c r="E305" t="s">
        <v>826</v>
      </c>
      <c r="F305">
        <v>67</v>
      </c>
      <c r="G305">
        <v>199</v>
      </c>
      <c r="J305" t="s">
        <v>873</v>
      </c>
      <c r="K305">
        <v>43.291445099999997</v>
      </c>
      <c r="L305">
        <v>13.4568829</v>
      </c>
      <c r="M305" t="s">
        <v>828</v>
      </c>
      <c r="N305" t="str">
        <f>TRIM(MID(M305,FIND(",",M305,FIND(",",M305)+1)+1,FIND(",",M305,FIND(",",M305,FIND(",",M305)+1)+1)-FIND(",",M305,FIND(",",M305)+1)-1))</f>
        <v>Macerata</v>
      </c>
    </row>
    <row r="306" spans="1:14" x14ac:dyDescent="0.3">
      <c r="A306">
        <v>305</v>
      </c>
      <c r="B306">
        <v>19</v>
      </c>
      <c r="D306" t="s">
        <v>872</v>
      </c>
      <c r="E306" t="s">
        <v>826</v>
      </c>
      <c r="F306">
        <v>28</v>
      </c>
      <c r="G306">
        <v>184</v>
      </c>
      <c r="J306" t="s">
        <v>874</v>
      </c>
      <c r="K306">
        <v>43.291445099999997</v>
      </c>
      <c r="L306">
        <v>13.4568829</v>
      </c>
      <c r="M306" t="s">
        <v>828</v>
      </c>
      <c r="N306" t="str">
        <f>TRIM(MID(M306,FIND(",",M306,FIND(",",M306)+1)+1,FIND(",",M306,FIND(",",M306,FIND(",",M306)+1)+1)-FIND(",",M306,FIND(",",M306)+1)-1))</f>
        <v>Macerata</v>
      </c>
    </row>
    <row r="307" spans="1:14" x14ac:dyDescent="0.3">
      <c r="A307">
        <v>306</v>
      </c>
      <c r="B307">
        <v>19</v>
      </c>
      <c r="D307" t="s">
        <v>875</v>
      </c>
      <c r="E307" t="s">
        <v>875</v>
      </c>
      <c r="F307" t="s">
        <v>22</v>
      </c>
      <c r="G307" t="s">
        <v>22</v>
      </c>
      <c r="J307" t="s">
        <v>876</v>
      </c>
      <c r="N307" t="e">
        <f>TRIM(MID(M307,FIND(",",M307,FIND(",",M307)+1)+1,FIND(",",M307,FIND(",",M307,FIND(",",M307)+1)+1)-FIND(",",M307,FIND(",",M307)+1)-1))</f>
        <v>#VALUE!</v>
      </c>
    </row>
    <row r="308" spans="1:14" x14ac:dyDescent="0.3">
      <c r="A308">
        <v>307</v>
      </c>
      <c r="B308">
        <v>19</v>
      </c>
      <c r="D308" t="s">
        <v>877</v>
      </c>
      <c r="E308" t="s">
        <v>490</v>
      </c>
      <c r="F308">
        <v>19</v>
      </c>
      <c r="G308">
        <v>19</v>
      </c>
      <c r="J308" t="s">
        <v>878</v>
      </c>
      <c r="K308">
        <v>43.310131900000002</v>
      </c>
      <c r="L308">
        <v>13.436020299999999</v>
      </c>
      <c r="M308" t="s">
        <v>518</v>
      </c>
      <c r="N308" t="str">
        <f>TRIM(MID(M308,FIND(",",M308,FIND(",",M308)+1)+1,FIND(",",M308,FIND(",",M308,FIND(",",M308)+1)+1)-FIND(",",M308,FIND(",",M308)+1)-1))</f>
        <v>Montanello</v>
      </c>
    </row>
    <row r="309" spans="1:14" x14ac:dyDescent="0.3">
      <c r="A309">
        <v>308</v>
      </c>
      <c r="B309">
        <v>19</v>
      </c>
      <c r="D309" t="s">
        <v>879</v>
      </c>
      <c r="E309" t="s">
        <v>879</v>
      </c>
      <c r="F309" t="s">
        <v>22</v>
      </c>
      <c r="G309" t="s">
        <v>22</v>
      </c>
      <c r="J309" t="s">
        <v>880</v>
      </c>
      <c r="K309">
        <v>43.286932200000003</v>
      </c>
      <c r="L309">
        <v>13.4490249</v>
      </c>
      <c r="M309" t="s">
        <v>881</v>
      </c>
      <c r="N309" t="str">
        <f>TRIM(MID(M309,FIND(",",M309,FIND(",",M309)+1)+1,FIND(",",M309,FIND(",",M309,FIND(",",M309)+1)+1)-FIND(",",M309,FIND(",",M309)+1)-1))</f>
        <v>Macerata</v>
      </c>
    </row>
    <row r="310" spans="1:14" x14ac:dyDescent="0.3">
      <c r="A310">
        <v>309</v>
      </c>
      <c r="B310">
        <v>19</v>
      </c>
      <c r="D310" t="s">
        <v>882</v>
      </c>
      <c r="E310" t="s">
        <v>882</v>
      </c>
      <c r="F310" t="s">
        <v>22</v>
      </c>
      <c r="G310" t="s">
        <v>22</v>
      </c>
      <c r="J310" t="s">
        <v>883</v>
      </c>
      <c r="K310">
        <v>43.289498700000003</v>
      </c>
      <c r="L310">
        <v>13.448631199999999</v>
      </c>
      <c r="M310" t="s">
        <v>884</v>
      </c>
      <c r="N310" t="str">
        <f>TRIM(MID(M310,FIND(",",M310,FIND(",",M310)+1)+1,FIND(",",M310,FIND(",",M310,FIND(",",M310)+1)+1)-FIND(",",M310,FIND(",",M310)+1)-1))</f>
        <v>Macerata</v>
      </c>
    </row>
    <row r="311" spans="1:14" x14ac:dyDescent="0.3">
      <c r="A311">
        <v>310</v>
      </c>
      <c r="B311">
        <v>19</v>
      </c>
      <c r="D311" t="s">
        <v>885</v>
      </c>
      <c r="E311" t="s">
        <v>885</v>
      </c>
      <c r="F311" t="s">
        <v>22</v>
      </c>
      <c r="G311" t="s">
        <v>22</v>
      </c>
      <c r="J311" t="s">
        <v>886</v>
      </c>
      <c r="N311" t="e">
        <f>TRIM(MID(M311,FIND(",",M311,FIND(",",M311)+1)+1,FIND(",",M311,FIND(",",M311,FIND(",",M311)+1)+1)-FIND(",",M311,FIND(",",M311)+1)-1))</f>
        <v>#VALUE!</v>
      </c>
    </row>
    <row r="312" spans="1:14" x14ac:dyDescent="0.3">
      <c r="A312">
        <v>311</v>
      </c>
      <c r="B312">
        <v>20</v>
      </c>
      <c r="D312" t="s">
        <v>887</v>
      </c>
      <c r="E312" t="s">
        <v>887</v>
      </c>
      <c r="F312" t="s">
        <v>22</v>
      </c>
      <c r="G312" t="s">
        <v>22</v>
      </c>
      <c r="J312" t="s">
        <v>888</v>
      </c>
      <c r="K312">
        <v>43.293613800000003</v>
      </c>
      <c r="L312">
        <v>13.4518778</v>
      </c>
      <c r="M312" t="s">
        <v>889</v>
      </c>
      <c r="N312" t="str">
        <f>TRIM(MID(M312,FIND(",",M312,FIND(",",M312)+1)+1,FIND(",",M312,FIND(",",M312,FIND(",",M312)+1)+1)-FIND(",",M312,FIND(",",M312)+1)-1))</f>
        <v>Macerata</v>
      </c>
    </row>
    <row r="313" spans="1:14" x14ac:dyDescent="0.3">
      <c r="A313">
        <v>312</v>
      </c>
      <c r="B313">
        <v>20</v>
      </c>
      <c r="D313" t="s">
        <v>890</v>
      </c>
      <c r="E313" t="s">
        <v>834</v>
      </c>
      <c r="F313">
        <v>7</v>
      </c>
      <c r="G313">
        <v>53</v>
      </c>
      <c r="J313" t="s">
        <v>891</v>
      </c>
      <c r="K313">
        <v>43.312750999999999</v>
      </c>
      <c r="L313">
        <v>13.723549200000001</v>
      </c>
      <c r="M313" t="s">
        <v>892</v>
      </c>
      <c r="N313" t="str">
        <f>TRIM(MID(M313,FIND(",",M313,FIND(",",M313)+1)+1,FIND(",",M313,FIND(",",M313,FIND(",",M313)+1)+1)-FIND(",",M313,FIND(",",M313)+1)-1))</f>
        <v>Centro</v>
      </c>
    </row>
    <row r="314" spans="1:14" x14ac:dyDescent="0.3">
      <c r="A314">
        <v>313</v>
      </c>
      <c r="B314">
        <v>20</v>
      </c>
      <c r="D314" t="s">
        <v>890</v>
      </c>
      <c r="E314" t="s">
        <v>834</v>
      </c>
      <c r="F314">
        <v>8</v>
      </c>
      <c r="G314">
        <v>80</v>
      </c>
      <c r="J314" t="s">
        <v>893</v>
      </c>
      <c r="K314">
        <v>43.312058100000002</v>
      </c>
      <c r="L314">
        <v>13.7236767</v>
      </c>
      <c r="M314" t="s">
        <v>894</v>
      </c>
      <c r="N314" t="str">
        <f>TRIM(MID(M314,FIND(",",M314,FIND(",",M314)+1)+1,FIND(",",M314,FIND(",",M314,FIND(",",M314)+1)+1)-FIND(",",M314,FIND(",",M314)+1)-1))</f>
        <v>Centro</v>
      </c>
    </row>
    <row r="315" spans="1:14" x14ac:dyDescent="0.3">
      <c r="A315">
        <v>314</v>
      </c>
      <c r="B315">
        <v>20</v>
      </c>
      <c r="D315" t="s">
        <v>895</v>
      </c>
      <c r="E315" t="s">
        <v>851</v>
      </c>
      <c r="F315">
        <v>8</v>
      </c>
      <c r="G315">
        <v>40</v>
      </c>
      <c r="J315" t="s">
        <v>896</v>
      </c>
      <c r="K315">
        <v>43.293519000000003</v>
      </c>
      <c r="L315">
        <v>13.453997299999999</v>
      </c>
      <c r="M315" t="s">
        <v>897</v>
      </c>
      <c r="N315" t="str">
        <f>TRIM(MID(M315,FIND(",",M315,FIND(",",M315)+1)+1,FIND(",",M315,FIND(",",M315,FIND(",",M315)+1)+1)-FIND(",",M315,FIND(",",M315)+1)-1))</f>
        <v>Rione Marche</v>
      </c>
    </row>
    <row r="316" spans="1:14" x14ac:dyDescent="0.3">
      <c r="A316">
        <v>315</v>
      </c>
      <c r="B316">
        <v>20</v>
      </c>
      <c r="D316" t="s">
        <v>898</v>
      </c>
      <c r="E316" t="s">
        <v>898</v>
      </c>
      <c r="F316" t="s">
        <v>22</v>
      </c>
      <c r="G316" t="s">
        <v>22</v>
      </c>
      <c r="J316" t="s">
        <v>899</v>
      </c>
      <c r="K316">
        <v>43.293856099999999</v>
      </c>
      <c r="L316">
        <v>13.450875699999999</v>
      </c>
      <c r="M316" t="s">
        <v>900</v>
      </c>
      <c r="N316" t="str">
        <f>TRIM(MID(M316,FIND(",",M316,FIND(",",M316)+1)+1,FIND(",",M316,FIND(",",M316,FIND(",",M316)+1)+1)-FIND(",",M316,FIND(",",M316)+1)-1))</f>
        <v>Macerata</v>
      </c>
    </row>
    <row r="317" spans="1:14" x14ac:dyDescent="0.3">
      <c r="A317">
        <v>316</v>
      </c>
      <c r="B317">
        <v>21</v>
      </c>
      <c r="D317" t="s">
        <v>901</v>
      </c>
      <c r="E317" t="s">
        <v>742</v>
      </c>
      <c r="F317">
        <v>9</v>
      </c>
      <c r="G317">
        <v>113</v>
      </c>
      <c r="J317" t="s">
        <v>902</v>
      </c>
      <c r="K317">
        <v>43.298118299999999</v>
      </c>
      <c r="L317">
        <v>13.4556079</v>
      </c>
      <c r="M317" t="s">
        <v>903</v>
      </c>
      <c r="N317" t="str">
        <f>TRIM(MID(M317,FIND(",",M317,FIND(",",M317)+1)+1,FIND(",",M317,FIND(",",M317,FIND(",",M317)+1)+1)-FIND(",",M317,FIND(",",M317)+1)-1))</f>
        <v>Corso Fratelli Cairoli</v>
      </c>
    </row>
    <row r="318" spans="1:14" x14ac:dyDescent="0.3">
      <c r="A318">
        <v>317</v>
      </c>
      <c r="B318">
        <v>21</v>
      </c>
      <c r="D318" t="s">
        <v>904</v>
      </c>
      <c r="E318" t="s">
        <v>904</v>
      </c>
      <c r="F318" t="s">
        <v>22</v>
      </c>
      <c r="G318" t="s">
        <v>22</v>
      </c>
      <c r="J318" t="s">
        <v>905</v>
      </c>
      <c r="N318" t="e">
        <f>TRIM(MID(M318,FIND(",",M318,FIND(",",M318)+1)+1,FIND(",",M318,FIND(",",M318,FIND(",",M318)+1)+1)-FIND(",",M318,FIND(",",M318)+1)-1))</f>
        <v>#VALUE!</v>
      </c>
    </row>
    <row r="319" spans="1:14" x14ac:dyDescent="0.3">
      <c r="A319">
        <v>318</v>
      </c>
      <c r="B319">
        <v>21</v>
      </c>
      <c r="D319" t="s">
        <v>906</v>
      </c>
      <c r="E319" t="s">
        <v>746</v>
      </c>
      <c r="F319">
        <v>43</v>
      </c>
      <c r="G319">
        <v>69</v>
      </c>
      <c r="J319" t="s">
        <v>907</v>
      </c>
      <c r="K319">
        <v>43.2985349</v>
      </c>
      <c r="L319">
        <v>13.455591200000001</v>
      </c>
      <c r="M319" t="s">
        <v>748</v>
      </c>
      <c r="N319" t="str">
        <f>TRIM(MID(M319,FIND(",",M319,FIND(",",M319)+1)+1,FIND(",",M319,FIND(",",M319,FIND(",",M319)+1)+1)-FIND(",",M319,FIND(",",M319)+1)-1))</f>
        <v>Macerata</v>
      </c>
    </row>
    <row r="320" spans="1:14" x14ac:dyDescent="0.3">
      <c r="A320">
        <v>319</v>
      </c>
      <c r="B320">
        <v>21</v>
      </c>
      <c r="D320" t="s">
        <v>906</v>
      </c>
      <c r="E320" t="s">
        <v>746</v>
      </c>
      <c r="F320">
        <v>38</v>
      </c>
      <c r="G320">
        <v>50</v>
      </c>
      <c r="J320" t="s">
        <v>908</v>
      </c>
      <c r="K320">
        <v>43.298228799999997</v>
      </c>
      <c r="L320">
        <v>13.455473899999999</v>
      </c>
      <c r="M320" t="s">
        <v>909</v>
      </c>
      <c r="N320" t="str">
        <f>TRIM(MID(M320,FIND(",",M320,FIND(",",M320)+1)+1,FIND(",",M320,FIND(",",M320,FIND(",",M320)+1)+1)-FIND(",",M320,FIND(",",M320)+1)-1))</f>
        <v>Centro storico</v>
      </c>
    </row>
    <row r="321" spans="1:14" x14ac:dyDescent="0.3">
      <c r="A321">
        <v>320</v>
      </c>
      <c r="B321">
        <v>21</v>
      </c>
      <c r="D321" t="s">
        <v>910</v>
      </c>
      <c r="E321" t="s">
        <v>771</v>
      </c>
      <c r="F321">
        <v>1</v>
      </c>
      <c r="G321">
        <v>9</v>
      </c>
      <c r="J321" t="s">
        <v>911</v>
      </c>
      <c r="N321" t="e">
        <f>TRIM(MID(M321,FIND(",",M321,FIND(",",M321)+1)+1,FIND(",",M321,FIND(",",M321,FIND(",",M321)+1)+1)-FIND(",",M321,FIND(",",M321)+1)-1))</f>
        <v>#VALUE!</v>
      </c>
    </row>
    <row r="322" spans="1:14" x14ac:dyDescent="0.3">
      <c r="A322">
        <v>321</v>
      </c>
      <c r="B322">
        <v>21</v>
      </c>
      <c r="D322" t="s">
        <v>910</v>
      </c>
      <c r="E322" t="s">
        <v>771</v>
      </c>
      <c r="F322">
        <v>2</v>
      </c>
      <c r="G322">
        <v>10</v>
      </c>
      <c r="J322" t="s">
        <v>912</v>
      </c>
      <c r="N322" t="e">
        <f>TRIM(MID(M322,FIND(",",M322,FIND(",",M322)+1)+1,FIND(",",M322,FIND(",",M322,FIND(",",M322)+1)+1)-FIND(",",M322,FIND(",",M322)+1)-1))</f>
        <v>#VALUE!</v>
      </c>
    </row>
    <row r="323" spans="1:14" x14ac:dyDescent="0.3">
      <c r="A323">
        <v>322</v>
      </c>
      <c r="B323">
        <v>21</v>
      </c>
      <c r="D323" t="s">
        <v>913</v>
      </c>
      <c r="E323" t="s">
        <v>913</v>
      </c>
      <c r="F323" t="s">
        <v>22</v>
      </c>
      <c r="G323" t="s">
        <v>22</v>
      </c>
      <c r="J323" t="s">
        <v>914</v>
      </c>
      <c r="K323">
        <v>43.296883100000002</v>
      </c>
      <c r="L323">
        <v>13.452085500000001</v>
      </c>
      <c r="M323" t="s">
        <v>915</v>
      </c>
      <c r="N323" t="str">
        <f>TRIM(MID(M323,FIND(",",M323,FIND(",",M323)+1)+1,FIND(",",M323,FIND(",",M323,FIND(",",M323)+1)+1)-FIND(",",M323,FIND(",",M323)+1)-1))</f>
        <v>Macerata</v>
      </c>
    </row>
    <row r="324" spans="1:14" x14ac:dyDescent="0.3">
      <c r="A324">
        <v>323</v>
      </c>
      <c r="B324">
        <v>21</v>
      </c>
      <c r="D324" t="s">
        <v>916</v>
      </c>
      <c r="E324" t="s">
        <v>328</v>
      </c>
      <c r="F324">
        <v>18</v>
      </c>
      <c r="G324">
        <v>18</v>
      </c>
      <c r="J324" t="s">
        <v>917</v>
      </c>
      <c r="K324">
        <v>43.284814799999999</v>
      </c>
      <c r="L324">
        <v>13.6463445</v>
      </c>
      <c r="M324" t="s">
        <v>918</v>
      </c>
      <c r="N324" t="str">
        <f>TRIM(MID(M324,FIND(",",M324,FIND(",",M324)+1)+1,FIND(",",M324,FIND(",",M324,FIND(",",M324)+1)+1)-FIND(",",M324,FIND(",",M324)+1)-1))</f>
        <v>Montecosaro Scalo</v>
      </c>
    </row>
    <row r="325" spans="1:14" x14ac:dyDescent="0.3">
      <c r="A325">
        <v>324</v>
      </c>
      <c r="B325">
        <v>21</v>
      </c>
      <c r="D325" t="s">
        <v>919</v>
      </c>
      <c r="E325" t="s">
        <v>919</v>
      </c>
      <c r="F325" t="s">
        <v>22</v>
      </c>
      <c r="G325" t="s">
        <v>22</v>
      </c>
      <c r="J325" t="s">
        <v>920</v>
      </c>
      <c r="K325">
        <v>43.297699799999997</v>
      </c>
      <c r="L325">
        <v>13.454185600000001</v>
      </c>
      <c r="M325" t="s">
        <v>921</v>
      </c>
      <c r="N325" t="str">
        <f>TRIM(MID(M325,FIND(",",M325,FIND(",",M325)+1)+1,FIND(",",M325,FIND(",",M325,FIND(",",M325)+1)+1)-FIND(",",M325,FIND(",",M325)+1)-1))</f>
        <v>Macerata</v>
      </c>
    </row>
    <row r="326" spans="1:14" x14ac:dyDescent="0.3">
      <c r="A326">
        <v>325</v>
      </c>
      <c r="B326">
        <v>21</v>
      </c>
      <c r="D326" t="s">
        <v>922</v>
      </c>
      <c r="E326" t="s">
        <v>922</v>
      </c>
      <c r="F326" t="s">
        <v>22</v>
      </c>
      <c r="G326" t="s">
        <v>22</v>
      </c>
      <c r="J326" t="s">
        <v>923</v>
      </c>
      <c r="K326">
        <v>43.297337400000004</v>
      </c>
      <c r="L326">
        <v>13.4543974</v>
      </c>
      <c r="M326" t="s">
        <v>924</v>
      </c>
      <c r="N326" t="str">
        <f>TRIM(MID(M326,FIND(",",M326,FIND(",",M326)+1)+1,FIND(",",M326,FIND(",",M326,FIND(",",M326)+1)+1)-FIND(",",M326,FIND(",",M326)+1)-1))</f>
        <v>Via Giosuè Carducci</v>
      </c>
    </row>
    <row r="327" spans="1:14" x14ac:dyDescent="0.3">
      <c r="A327">
        <v>326</v>
      </c>
      <c r="B327">
        <v>21</v>
      </c>
      <c r="D327" t="s">
        <v>925</v>
      </c>
      <c r="E327" t="s">
        <v>925</v>
      </c>
      <c r="F327" t="s">
        <v>22</v>
      </c>
      <c r="G327" t="s">
        <v>22</v>
      </c>
      <c r="J327" t="s">
        <v>926</v>
      </c>
      <c r="K327">
        <v>43.2955781</v>
      </c>
      <c r="L327">
        <v>13.451488299999999</v>
      </c>
      <c r="M327" t="s">
        <v>927</v>
      </c>
      <c r="N327" t="str">
        <f>TRIM(MID(M327,FIND(",",M327,FIND(",",M327)+1)+1,FIND(",",M327,FIND(",",M327,FIND(",",M327)+1)+1)-FIND(",",M327,FIND(",",M327)+1)-1))</f>
        <v>Macerata</v>
      </c>
    </row>
    <row r="328" spans="1:14" x14ac:dyDescent="0.3">
      <c r="A328">
        <v>327</v>
      </c>
      <c r="B328">
        <v>21</v>
      </c>
      <c r="D328" t="s">
        <v>928</v>
      </c>
      <c r="E328" t="s">
        <v>928</v>
      </c>
      <c r="F328" t="s">
        <v>22</v>
      </c>
      <c r="G328" t="s">
        <v>22</v>
      </c>
      <c r="J328" t="s">
        <v>929</v>
      </c>
      <c r="K328">
        <v>43.297060299999998</v>
      </c>
      <c r="L328">
        <v>13.4547755</v>
      </c>
      <c r="M328" t="s">
        <v>930</v>
      </c>
      <c r="N328" t="str">
        <f>TRIM(MID(M328,FIND(",",M328,FIND(",",M328)+1)+1,FIND(",",M328,FIND(",",M328,FIND(",",M328)+1)+1)-FIND(",",M328,FIND(",",M328)+1)-1))</f>
        <v>Macerata</v>
      </c>
    </row>
    <row r="329" spans="1:14" x14ac:dyDescent="0.3">
      <c r="A329">
        <v>328</v>
      </c>
      <c r="B329">
        <v>21</v>
      </c>
      <c r="D329" t="s">
        <v>931</v>
      </c>
      <c r="E329" t="s">
        <v>931</v>
      </c>
      <c r="F329" t="s">
        <v>22</v>
      </c>
      <c r="G329" t="s">
        <v>22</v>
      </c>
      <c r="J329" t="s">
        <v>932</v>
      </c>
      <c r="N329" t="e">
        <f>TRIM(MID(M329,FIND(",",M329,FIND(",",M329)+1)+1,FIND(",",M329,FIND(",",M329,FIND(",",M329)+1)+1)-FIND(",",M329,FIND(",",M329)+1)-1))</f>
        <v>#VALUE!</v>
      </c>
    </row>
    <row r="330" spans="1:14" x14ac:dyDescent="0.3">
      <c r="A330">
        <v>329</v>
      </c>
      <c r="B330">
        <v>21</v>
      </c>
      <c r="D330" t="s">
        <v>933</v>
      </c>
      <c r="E330" t="s">
        <v>933</v>
      </c>
      <c r="F330" t="s">
        <v>22</v>
      </c>
      <c r="G330" t="s">
        <v>22</v>
      </c>
      <c r="J330" t="s">
        <v>934</v>
      </c>
      <c r="K330">
        <v>43.297917400000003</v>
      </c>
      <c r="L330">
        <v>13.455061000000001</v>
      </c>
      <c r="M330" t="s">
        <v>935</v>
      </c>
      <c r="N330" t="str">
        <f>TRIM(MID(M330,FIND(",",M330,FIND(",",M330)+1)+1,FIND(",",M330,FIND(",",M330,FIND(",",M330)+1)+1)-FIND(",",M330,FIND(",",M330)+1)-1))</f>
        <v>Macerata</v>
      </c>
    </row>
    <row r="331" spans="1:14" x14ac:dyDescent="0.3">
      <c r="A331">
        <v>330</v>
      </c>
      <c r="B331">
        <v>21</v>
      </c>
      <c r="D331" t="s">
        <v>936</v>
      </c>
      <c r="E331" t="s">
        <v>936</v>
      </c>
      <c r="F331" t="s">
        <v>22</v>
      </c>
      <c r="G331" t="s">
        <v>22</v>
      </c>
      <c r="J331" t="s">
        <v>937</v>
      </c>
      <c r="K331">
        <v>43.295904399999998</v>
      </c>
      <c r="L331">
        <v>13.451488700000001</v>
      </c>
      <c r="M331" t="s">
        <v>938</v>
      </c>
      <c r="N331" t="str">
        <f>TRIM(MID(M331,FIND(",",M331,FIND(",",M331)+1)+1,FIND(",",M331,FIND(",",M331,FIND(",",M331)+1)+1)-FIND(",",M331,FIND(",",M331)+1)-1))</f>
        <v>Macerata</v>
      </c>
    </row>
    <row r="332" spans="1:14" x14ac:dyDescent="0.3">
      <c r="A332">
        <v>331</v>
      </c>
      <c r="B332">
        <v>21</v>
      </c>
      <c r="D332" t="s">
        <v>939</v>
      </c>
      <c r="E332" t="s">
        <v>334</v>
      </c>
      <c r="F332">
        <v>1</v>
      </c>
      <c r="G332">
        <v>7</v>
      </c>
      <c r="J332" t="s">
        <v>940</v>
      </c>
      <c r="K332">
        <v>43.296837199999999</v>
      </c>
      <c r="L332">
        <v>13.453320099999999</v>
      </c>
      <c r="M332" t="s">
        <v>941</v>
      </c>
      <c r="N332" t="str">
        <f>TRIM(MID(M332,FIND(",",M332,FIND(",",M332)+1)+1,FIND(",",M332,FIND(",",M332,FIND(",",M332)+1)+1)-FIND(",",M332,FIND(",",M332)+1)-1))</f>
        <v>Tribunale</v>
      </c>
    </row>
    <row r="333" spans="1:14" x14ac:dyDescent="0.3">
      <c r="A333">
        <v>332</v>
      </c>
      <c r="B333">
        <v>21</v>
      </c>
      <c r="D333" t="s">
        <v>939</v>
      </c>
      <c r="E333" t="s">
        <v>334</v>
      </c>
      <c r="F333">
        <v>20</v>
      </c>
      <c r="G333">
        <v>26</v>
      </c>
      <c r="J333" t="s">
        <v>942</v>
      </c>
      <c r="K333">
        <v>43.305640799999999</v>
      </c>
      <c r="L333">
        <v>13.7174821</v>
      </c>
      <c r="M333" t="s">
        <v>943</v>
      </c>
      <c r="N333" t="str">
        <f>TRIM(MID(M333,FIND(",",M333,FIND(",",M333)+1)+1,FIND(",",M333,FIND(",",M333,FIND(",",M333)+1)+1)-FIND(",",M333,FIND(",",M333)+1)-1))</f>
        <v>San Giuseppe</v>
      </c>
    </row>
    <row r="334" spans="1:14" x14ac:dyDescent="0.3">
      <c r="A334">
        <v>333</v>
      </c>
      <c r="B334">
        <v>21</v>
      </c>
      <c r="D334" t="s">
        <v>944</v>
      </c>
      <c r="E334" t="s">
        <v>344</v>
      </c>
      <c r="F334">
        <v>2</v>
      </c>
      <c r="G334">
        <v>14</v>
      </c>
      <c r="J334" t="s">
        <v>945</v>
      </c>
      <c r="K334">
        <v>43.313031299999999</v>
      </c>
      <c r="L334">
        <v>13.5800436</v>
      </c>
      <c r="M334" t="s">
        <v>946</v>
      </c>
      <c r="N334" t="str">
        <f>TRIM(MID(M334,FIND(",",M334,FIND(",",M334)+1)+1,FIND(",",M334,FIND(",",M334,FIND(",",M334)+1)+1)-FIND(",",M334,FIND(",",M334)+1)-1))</f>
        <v>Borgo Marconi</v>
      </c>
    </row>
    <row r="335" spans="1:14" x14ac:dyDescent="0.3">
      <c r="A335">
        <v>334</v>
      </c>
      <c r="B335">
        <v>21</v>
      </c>
      <c r="D335" t="s">
        <v>947</v>
      </c>
      <c r="E335" t="s">
        <v>107</v>
      </c>
      <c r="F335">
        <v>2</v>
      </c>
      <c r="G335">
        <v>2</v>
      </c>
      <c r="J335" t="s">
        <v>110</v>
      </c>
      <c r="K335">
        <v>43.433397800000002</v>
      </c>
      <c r="L335">
        <v>13.660485100000001</v>
      </c>
      <c r="M335" t="s">
        <v>111</v>
      </c>
      <c r="N335" t="str">
        <f>TRIM(MID(M335,FIND(",",M335,FIND(",",M335)+1)+1,FIND(",",M335,FIND(",",M335,FIND(",",M335)+1)+1)-FIND(",",M335,FIND(",",M335)+1)-1))</f>
        <v>Porto Recanati</v>
      </c>
    </row>
    <row r="336" spans="1:14" x14ac:dyDescent="0.3">
      <c r="A336">
        <v>335</v>
      </c>
      <c r="B336">
        <v>21</v>
      </c>
      <c r="D336" t="s">
        <v>948</v>
      </c>
      <c r="E336" t="s">
        <v>354</v>
      </c>
      <c r="F336">
        <v>1</v>
      </c>
      <c r="G336">
        <v>1</v>
      </c>
      <c r="J336" t="s">
        <v>949</v>
      </c>
      <c r="K336">
        <v>43.271719699999998</v>
      </c>
      <c r="L336">
        <v>13.5929418</v>
      </c>
      <c r="M336" t="s">
        <v>950</v>
      </c>
      <c r="N336" t="str">
        <f>TRIM(MID(M336,FIND(",",M336,FIND(",",M336)+1)+1,FIND(",",M336,FIND(",",M336,FIND(",",M336)+1)+1)-FIND(",",M336,FIND(",",M336)+1)-1))</f>
        <v>Contrada Campoleone</v>
      </c>
    </row>
    <row r="337" spans="1:14" x14ac:dyDescent="0.3">
      <c r="A337">
        <v>336</v>
      </c>
      <c r="B337">
        <v>21</v>
      </c>
      <c r="D337" t="s">
        <v>948</v>
      </c>
      <c r="E337" t="s">
        <v>354</v>
      </c>
      <c r="F337">
        <v>4</v>
      </c>
      <c r="G337">
        <v>4</v>
      </c>
      <c r="J337" t="s">
        <v>951</v>
      </c>
      <c r="K337">
        <v>43.3428513</v>
      </c>
      <c r="L337">
        <v>13.5711783</v>
      </c>
      <c r="M337" t="s">
        <v>952</v>
      </c>
      <c r="N337" t="str">
        <f>TRIM(MID(M337,FIND(",",M337,FIND(",",M337)+1)+1,FIND(",",M337,FIND(",",M337,FIND(",",M337)+1)+1)-FIND(",",M337,FIND(",",M337)+1)-1))</f>
        <v>Contrada Campodonico</v>
      </c>
    </row>
    <row r="338" spans="1:14" x14ac:dyDescent="0.3">
      <c r="A338">
        <v>337</v>
      </c>
      <c r="B338">
        <v>21</v>
      </c>
      <c r="D338" t="s">
        <v>953</v>
      </c>
      <c r="E338" t="s">
        <v>954</v>
      </c>
      <c r="F338">
        <v>37</v>
      </c>
      <c r="G338">
        <v>39</v>
      </c>
      <c r="J338" t="s">
        <v>955</v>
      </c>
      <c r="K338">
        <v>43.2956717</v>
      </c>
      <c r="L338">
        <v>13.4556643</v>
      </c>
      <c r="M338" t="s">
        <v>956</v>
      </c>
      <c r="N338" t="str">
        <f>TRIM(MID(M338,FIND(",",M338,FIND(",",M338)+1)+1,FIND(",",M338,FIND(",",M338,FIND(",",M338)+1)+1)-FIND(",",M338,FIND(",",M338)+1)-1))</f>
        <v>Macerata</v>
      </c>
    </row>
    <row r="339" spans="1:14" x14ac:dyDescent="0.3">
      <c r="A339">
        <v>338</v>
      </c>
      <c r="B339">
        <v>21</v>
      </c>
      <c r="D339" t="s">
        <v>957</v>
      </c>
      <c r="E339" t="s">
        <v>958</v>
      </c>
      <c r="F339">
        <v>6</v>
      </c>
      <c r="G339">
        <v>10</v>
      </c>
      <c r="J339" t="s">
        <v>959</v>
      </c>
      <c r="K339">
        <v>43.297068699999997</v>
      </c>
      <c r="L339">
        <v>13.455379300000001</v>
      </c>
      <c r="M339" t="s">
        <v>960</v>
      </c>
      <c r="N339" t="str">
        <f>TRIM(MID(M339,FIND(",",M339,FIND(",",M339)+1)+1,FIND(",",M339,FIND(",",M339,FIND(",",M339)+1)+1)-FIND(",",M339,FIND(",",M339)+1)-1))</f>
        <v>Verdi</v>
      </c>
    </row>
    <row r="340" spans="1:14" x14ac:dyDescent="0.3">
      <c r="A340">
        <v>339</v>
      </c>
      <c r="B340">
        <v>21</v>
      </c>
      <c r="D340" t="s">
        <v>961</v>
      </c>
      <c r="E340" t="s">
        <v>961</v>
      </c>
      <c r="F340" t="s">
        <v>22</v>
      </c>
      <c r="G340" t="s">
        <v>22</v>
      </c>
      <c r="J340" t="s">
        <v>962</v>
      </c>
      <c r="K340">
        <v>43.297753899999996</v>
      </c>
      <c r="L340">
        <v>13.4551301</v>
      </c>
      <c r="M340" t="s">
        <v>963</v>
      </c>
      <c r="N340" t="str">
        <f>TRIM(MID(M340,FIND(",",M340,FIND(",",M340)+1)+1,FIND(",",M340,FIND(",",M340,FIND(",",M340)+1)+1)-FIND(",",M340,FIND(",",M340)+1)-1))</f>
        <v>Via delle Moie</v>
      </c>
    </row>
    <row r="341" spans="1:14" x14ac:dyDescent="0.3">
      <c r="A341">
        <v>340</v>
      </c>
      <c r="B341">
        <v>21</v>
      </c>
      <c r="D341" t="s">
        <v>964</v>
      </c>
      <c r="E341" t="s">
        <v>964</v>
      </c>
      <c r="F341" t="s">
        <v>22</v>
      </c>
      <c r="G341" t="s">
        <v>22</v>
      </c>
      <c r="J341" t="s">
        <v>965</v>
      </c>
      <c r="K341">
        <v>43.296985900000003</v>
      </c>
      <c r="L341">
        <v>13.4542193</v>
      </c>
      <c r="M341" t="s">
        <v>966</v>
      </c>
      <c r="N341" t="str">
        <f>TRIM(MID(M341,FIND(",",M341,FIND(",",M341)+1)+1,FIND(",",M341,FIND(",",M341,FIND(",",M341)+1)+1)-FIND(",",M341,FIND(",",M341)+1)-1))</f>
        <v>Macerata</v>
      </c>
    </row>
    <row r="342" spans="1:14" x14ac:dyDescent="0.3">
      <c r="A342">
        <v>341</v>
      </c>
      <c r="B342">
        <v>21</v>
      </c>
      <c r="D342" t="s">
        <v>967</v>
      </c>
      <c r="E342" t="s">
        <v>967</v>
      </c>
      <c r="F342" t="s">
        <v>22</v>
      </c>
      <c r="G342" t="s">
        <v>22</v>
      </c>
      <c r="J342" t="s">
        <v>968</v>
      </c>
      <c r="K342">
        <v>43.298147499999999</v>
      </c>
      <c r="L342">
        <v>13.4545811</v>
      </c>
      <c r="M342" t="s">
        <v>969</v>
      </c>
      <c r="N342" t="str">
        <f>TRIM(MID(M342,FIND(",",M342,FIND(",",M342)+1)+1,FIND(",",M342,FIND(",",M342,FIND(",",M342)+1)+1)-FIND(",",M342,FIND(",",M342)+1)-1))</f>
        <v>Macerata</v>
      </c>
    </row>
    <row r="343" spans="1:14" x14ac:dyDescent="0.3">
      <c r="A343">
        <v>342</v>
      </c>
      <c r="B343">
        <v>21</v>
      </c>
      <c r="D343" t="s">
        <v>970</v>
      </c>
      <c r="E343" t="s">
        <v>970</v>
      </c>
      <c r="F343" t="s">
        <v>22</v>
      </c>
      <c r="G343" t="s">
        <v>22</v>
      </c>
      <c r="J343" t="s">
        <v>971</v>
      </c>
      <c r="K343">
        <v>43.314799700000002</v>
      </c>
      <c r="L343">
        <v>13.724195699999999</v>
      </c>
      <c r="M343" t="s">
        <v>972</v>
      </c>
      <c r="N343" t="str">
        <f>TRIM(MID(M343,FIND(",",M343,FIND(",",M343)+1)+1,FIND(",",M343,FIND(",",M343,FIND(",",M343)+1)+1)-FIND(",",M343,FIND(",",M343)+1)-1))</f>
        <v>Civitanova Marche</v>
      </c>
    </row>
    <row r="344" spans="1:14" x14ac:dyDescent="0.3">
      <c r="A344">
        <v>343</v>
      </c>
      <c r="B344">
        <v>21</v>
      </c>
      <c r="D344" t="s">
        <v>973</v>
      </c>
      <c r="E344" t="s">
        <v>815</v>
      </c>
      <c r="F344">
        <v>4</v>
      </c>
      <c r="G344">
        <v>6</v>
      </c>
      <c r="J344" t="s">
        <v>974</v>
      </c>
      <c r="K344">
        <v>43.293787999999999</v>
      </c>
      <c r="L344">
        <v>13.4560529</v>
      </c>
      <c r="M344" t="s">
        <v>975</v>
      </c>
      <c r="N344" t="str">
        <f>TRIM(MID(M344,FIND(",",M344,FIND(",",M344)+1)+1,FIND(",",M344,FIND(",",M344,FIND(",",M344)+1)+1)-FIND(",",M344,FIND(",",M344)+1)-1))</f>
        <v>Verdi</v>
      </c>
    </row>
    <row r="345" spans="1:14" x14ac:dyDescent="0.3">
      <c r="A345">
        <v>344</v>
      </c>
      <c r="B345">
        <v>21</v>
      </c>
      <c r="D345" t="s">
        <v>976</v>
      </c>
      <c r="E345" t="s">
        <v>976</v>
      </c>
      <c r="F345" t="s">
        <v>22</v>
      </c>
      <c r="G345" t="s">
        <v>22</v>
      </c>
      <c r="J345" t="s">
        <v>977</v>
      </c>
      <c r="K345">
        <v>43.297418299999997</v>
      </c>
      <c r="L345">
        <v>13.4547019</v>
      </c>
      <c r="M345" t="s">
        <v>978</v>
      </c>
      <c r="N345" t="str">
        <f>TRIM(MID(M345,FIND(",",M345,FIND(",",M345)+1)+1,FIND(",",M345,FIND(",",M345,FIND(",",M345)+1)+1)-FIND(",",M345,FIND(",",M345)+1)-1))</f>
        <v>Macerata</v>
      </c>
    </row>
    <row r="346" spans="1:14" x14ac:dyDescent="0.3">
      <c r="A346">
        <v>345</v>
      </c>
      <c r="B346">
        <v>21</v>
      </c>
      <c r="D346" t="s">
        <v>979</v>
      </c>
      <c r="E346" t="s">
        <v>363</v>
      </c>
      <c r="F346">
        <v>1</v>
      </c>
      <c r="G346">
        <v>9</v>
      </c>
      <c r="J346" t="s">
        <v>980</v>
      </c>
      <c r="K346">
        <v>43.250338999999997</v>
      </c>
      <c r="L346">
        <v>13.5128781</v>
      </c>
      <c r="M346" t="s">
        <v>981</v>
      </c>
      <c r="N346" t="str">
        <f>TRIM(MID(M346,FIND(",",M346,FIND(",",M346)+1)+1,FIND(",",M346,FIND(",",M346,FIND(",",M346)+1)+1)-FIND(",",M346,FIND(",",M346)+1)-1))</f>
        <v>Corridonia</v>
      </c>
    </row>
    <row r="347" spans="1:14" x14ac:dyDescent="0.3">
      <c r="A347">
        <v>346</v>
      </c>
      <c r="B347">
        <v>21</v>
      </c>
      <c r="D347" t="s">
        <v>979</v>
      </c>
      <c r="E347" t="s">
        <v>363</v>
      </c>
      <c r="F347">
        <v>8</v>
      </c>
      <c r="G347">
        <v>50</v>
      </c>
      <c r="J347" t="s">
        <v>982</v>
      </c>
      <c r="K347">
        <v>43.297524299999999</v>
      </c>
      <c r="L347">
        <v>13.451299799999999</v>
      </c>
      <c r="M347" t="s">
        <v>365</v>
      </c>
      <c r="N347" t="str">
        <f>TRIM(MID(M347,FIND(",",M347,FIND(",",M347)+1)+1,FIND(",",M347,FIND(",",M347,FIND(",",M347)+1)+1)-FIND(",",M347,FIND(",",M347)+1)-1))</f>
        <v>Macerata</v>
      </c>
    </row>
    <row r="348" spans="1:14" x14ac:dyDescent="0.3">
      <c r="A348">
        <v>347</v>
      </c>
      <c r="B348">
        <v>21</v>
      </c>
      <c r="D348" t="s">
        <v>983</v>
      </c>
      <c r="E348" t="s">
        <v>984</v>
      </c>
      <c r="F348">
        <v>1</v>
      </c>
      <c r="G348">
        <v>67</v>
      </c>
      <c r="J348" t="s">
        <v>985</v>
      </c>
      <c r="K348">
        <v>43.2948734</v>
      </c>
      <c r="L348">
        <v>13.454050000000001</v>
      </c>
      <c r="M348" t="s">
        <v>986</v>
      </c>
      <c r="N348" t="str">
        <f>TRIM(MID(M348,FIND(",",M348,FIND(",",M348)+1)+1,FIND(",",M348,FIND(",",M348,FIND(",",M348)+1)+1)-FIND(",",M348,FIND(",",M348)+1)-1))</f>
        <v>Macerata</v>
      </c>
    </row>
    <row r="349" spans="1:14" x14ac:dyDescent="0.3">
      <c r="A349">
        <v>348</v>
      </c>
      <c r="B349">
        <v>21</v>
      </c>
      <c r="D349" t="s">
        <v>983</v>
      </c>
      <c r="E349" t="s">
        <v>984</v>
      </c>
      <c r="F349">
        <v>4</v>
      </c>
      <c r="G349">
        <v>66</v>
      </c>
      <c r="J349" t="s">
        <v>987</v>
      </c>
      <c r="K349">
        <v>43.2948734</v>
      </c>
      <c r="L349">
        <v>13.454050000000001</v>
      </c>
      <c r="M349" t="s">
        <v>986</v>
      </c>
      <c r="N349" t="str">
        <f>TRIM(MID(M349,FIND(",",M349,FIND(",",M349)+1)+1,FIND(",",M349,FIND(",",M349,FIND(",",M349)+1)+1)-FIND(",",M349,FIND(",",M349)+1)-1))</f>
        <v>Macerata</v>
      </c>
    </row>
    <row r="350" spans="1:14" x14ac:dyDescent="0.3">
      <c r="A350">
        <v>349</v>
      </c>
      <c r="B350">
        <v>21</v>
      </c>
      <c r="D350" t="s">
        <v>988</v>
      </c>
      <c r="E350" t="s">
        <v>988</v>
      </c>
      <c r="F350" t="s">
        <v>22</v>
      </c>
      <c r="G350" t="s">
        <v>22</v>
      </c>
      <c r="J350" t="s">
        <v>989</v>
      </c>
      <c r="K350">
        <v>43.297697100000001</v>
      </c>
      <c r="L350">
        <v>13.449473299999999</v>
      </c>
      <c r="M350" t="s">
        <v>990</v>
      </c>
      <c r="N350" t="str">
        <f>TRIM(MID(M350,FIND(",",M350,FIND(",",M350)+1)+1,FIND(",",M350,FIND(",",M350,FIND(",",M350)+1)+1)-FIND(",",M350,FIND(",",M350)+1)-1))</f>
        <v>Macerata</v>
      </c>
    </row>
    <row r="351" spans="1:14" x14ac:dyDescent="0.3">
      <c r="A351">
        <v>350</v>
      </c>
      <c r="B351">
        <v>22</v>
      </c>
      <c r="D351" t="s">
        <v>991</v>
      </c>
      <c r="E351" t="s">
        <v>742</v>
      </c>
      <c r="F351">
        <v>115</v>
      </c>
      <c r="G351">
        <v>187</v>
      </c>
      <c r="J351" t="s">
        <v>992</v>
      </c>
      <c r="K351">
        <v>43.298161700000001</v>
      </c>
      <c r="L351">
        <v>13.4555957</v>
      </c>
      <c r="M351" t="s">
        <v>993</v>
      </c>
      <c r="N351" t="str">
        <f>TRIM(MID(M351,FIND(",",M351,FIND(",",M351)+1)+1,FIND(",",M351,FIND(",",M351,FIND(",",M351)+1)+1)-FIND(",",M351,FIND(",",M351)+1)-1))</f>
        <v>Corso Fratelli Cairoli</v>
      </c>
    </row>
    <row r="352" spans="1:14" x14ac:dyDescent="0.3">
      <c r="A352">
        <v>351</v>
      </c>
      <c r="B352">
        <v>22</v>
      </c>
      <c r="D352" t="s">
        <v>991</v>
      </c>
      <c r="E352" t="s">
        <v>742</v>
      </c>
      <c r="F352">
        <v>106</v>
      </c>
      <c r="G352">
        <v>228</v>
      </c>
      <c r="J352" t="s">
        <v>994</v>
      </c>
      <c r="K352">
        <v>43.298161700000001</v>
      </c>
      <c r="L352">
        <v>13.4555957</v>
      </c>
      <c r="M352" t="s">
        <v>993</v>
      </c>
      <c r="N352" t="str">
        <f>TRIM(MID(M352,FIND(",",M352,FIND(",",M352)+1)+1,FIND(",",M352,FIND(",",M352,FIND(",",M352)+1)+1)-FIND(",",M352,FIND(",",M352)+1)-1))</f>
        <v>Corso Fratelli Cairoli</v>
      </c>
    </row>
    <row r="353" spans="1:14" x14ac:dyDescent="0.3">
      <c r="A353">
        <v>352</v>
      </c>
      <c r="B353">
        <v>22</v>
      </c>
      <c r="D353" t="s">
        <v>995</v>
      </c>
      <c r="E353" t="s">
        <v>751</v>
      </c>
      <c r="F353">
        <v>13</v>
      </c>
      <c r="G353">
        <v>93</v>
      </c>
      <c r="J353" t="s">
        <v>996</v>
      </c>
      <c r="K353">
        <v>43.296176099999997</v>
      </c>
      <c r="L353">
        <v>13.4570536</v>
      </c>
      <c r="M353" t="s">
        <v>753</v>
      </c>
      <c r="N353" t="str">
        <f>TRIM(MID(M353,FIND(",",M353,FIND(",",M353)+1)+1,FIND(",",M353,FIND(",",M353,FIND(",",M353)+1)+1)-FIND(",",M353,FIND(",",M353)+1)-1))</f>
        <v>Macerata</v>
      </c>
    </row>
    <row r="354" spans="1:14" x14ac:dyDescent="0.3">
      <c r="A354">
        <v>353</v>
      </c>
      <c r="B354">
        <v>22</v>
      </c>
      <c r="D354" t="s">
        <v>995</v>
      </c>
      <c r="E354" t="s">
        <v>751</v>
      </c>
      <c r="F354">
        <v>28</v>
      </c>
      <c r="G354">
        <v>30</v>
      </c>
      <c r="J354" t="s">
        <v>997</v>
      </c>
      <c r="K354">
        <v>43.296176099999997</v>
      </c>
      <c r="L354">
        <v>13.4570536</v>
      </c>
      <c r="M354" t="s">
        <v>753</v>
      </c>
      <c r="N354" t="str">
        <f>TRIM(MID(M354,FIND(",",M354,FIND(",",M354)+1)+1,FIND(",",M354,FIND(",",M354,FIND(",",M354)+1)+1)-FIND(",",M354,FIND(",",M354)+1)-1))</f>
        <v>Macerata</v>
      </c>
    </row>
    <row r="355" spans="1:14" x14ac:dyDescent="0.3">
      <c r="A355">
        <v>354</v>
      </c>
      <c r="B355">
        <v>22</v>
      </c>
      <c r="D355" t="s">
        <v>998</v>
      </c>
      <c r="E355" t="s">
        <v>998</v>
      </c>
      <c r="F355" t="s">
        <v>22</v>
      </c>
      <c r="G355" t="s">
        <v>22</v>
      </c>
      <c r="J355" t="s">
        <v>999</v>
      </c>
      <c r="K355">
        <v>43.296444600000001</v>
      </c>
      <c r="L355">
        <v>13.4555323</v>
      </c>
      <c r="M355" t="s">
        <v>1000</v>
      </c>
      <c r="N355" t="str">
        <f>TRIM(MID(M355,FIND(",",M355,FIND(",",M355)+1)+1,FIND(",",M355,FIND(",",M355,FIND(",",M355)+1)+1)-FIND(",",M355,FIND(",",M355)+1)-1))</f>
        <v>Macerata</v>
      </c>
    </row>
    <row r="356" spans="1:14" x14ac:dyDescent="0.3">
      <c r="A356">
        <v>355</v>
      </c>
      <c r="B356">
        <v>22</v>
      </c>
      <c r="D356" t="s">
        <v>1001</v>
      </c>
      <c r="E356" t="s">
        <v>775</v>
      </c>
      <c r="F356">
        <v>3</v>
      </c>
      <c r="G356">
        <v>11</v>
      </c>
      <c r="J356" t="s">
        <v>1002</v>
      </c>
      <c r="K356">
        <v>43.295605100000003</v>
      </c>
      <c r="L356">
        <v>13.456852</v>
      </c>
      <c r="M356" t="s">
        <v>1003</v>
      </c>
      <c r="N356" t="str">
        <f>TRIM(MID(M356,FIND(",",M356,FIND(",",M356)+1)+1,FIND(",",M356,FIND(",",M356,FIND(",",M356)+1)+1)-FIND(",",M356,FIND(",",M356)+1)-1))</f>
        <v>Verdi</v>
      </c>
    </row>
    <row r="357" spans="1:14" x14ac:dyDescent="0.3">
      <c r="A357">
        <v>356</v>
      </c>
      <c r="B357">
        <v>22</v>
      </c>
      <c r="D357" t="s">
        <v>1004</v>
      </c>
      <c r="E357" t="s">
        <v>954</v>
      </c>
      <c r="F357">
        <v>3</v>
      </c>
      <c r="G357">
        <v>35</v>
      </c>
      <c r="J357" t="s">
        <v>1005</v>
      </c>
      <c r="K357">
        <v>43.2956717</v>
      </c>
      <c r="L357">
        <v>13.4556643</v>
      </c>
      <c r="M357" t="s">
        <v>956</v>
      </c>
      <c r="N357" t="str">
        <f>TRIM(MID(M357,FIND(",",M357,FIND(",",M357)+1)+1,FIND(",",M357,FIND(",",M357,FIND(",",M357)+1)+1)-FIND(",",M357,FIND(",",M357)+1)-1))</f>
        <v>Macerata</v>
      </c>
    </row>
    <row r="358" spans="1:14" x14ac:dyDescent="0.3">
      <c r="A358">
        <v>357</v>
      </c>
      <c r="B358">
        <v>22</v>
      </c>
      <c r="D358" t="s">
        <v>1004</v>
      </c>
      <c r="E358" t="s">
        <v>954</v>
      </c>
      <c r="F358">
        <v>8</v>
      </c>
      <c r="G358">
        <v>36</v>
      </c>
      <c r="J358" t="s">
        <v>1006</v>
      </c>
      <c r="K358">
        <v>43.296247899999997</v>
      </c>
      <c r="L358">
        <v>13.455617800000001</v>
      </c>
      <c r="M358" t="s">
        <v>1007</v>
      </c>
      <c r="N358" t="str">
        <f>TRIM(MID(M358,FIND(",",M358,FIND(",",M358)+1)+1,FIND(",",M358,FIND(",",M358,FIND(",",M358)+1)+1)-FIND(",",M358,FIND(",",M358)+1)-1))</f>
        <v>Verdi</v>
      </c>
    </row>
    <row r="359" spans="1:14" x14ac:dyDescent="0.3">
      <c r="A359">
        <v>358</v>
      </c>
      <c r="B359">
        <v>22</v>
      </c>
      <c r="D359" t="s">
        <v>1008</v>
      </c>
      <c r="E359" t="s">
        <v>958</v>
      </c>
      <c r="F359">
        <v>3</v>
      </c>
      <c r="G359">
        <v>5</v>
      </c>
      <c r="J359" t="s">
        <v>1009</v>
      </c>
      <c r="K359">
        <v>43.296653599999999</v>
      </c>
      <c r="L359">
        <v>13.4553406</v>
      </c>
      <c r="M359" t="s">
        <v>1010</v>
      </c>
      <c r="N359" t="str">
        <f>TRIM(MID(M359,FIND(",",M359,FIND(",",M359)+1)+1,FIND(",",M359,FIND(",",M359,FIND(",",M359)+1)+1)-FIND(",",M359,FIND(",",M359)+1)-1))</f>
        <v>Verdi</v>
      </c>
    </row>
    <row r="360" spans="1:14" x14ac:dyDescent="0.3">
      <c r="A360">
        <v>359</v>
      </c>
      <c r="B360">
        <v>22</v>
      </c>
      <c r="D360" t="s">
        <v>1011</v>
      </c>
      <c r="E360" t="s">
        <v>787</v>
      </c>
      <c r="F360">
        <v>3</v>
      </c>
      <c r="G360">
        <v>7</v>
      </c>
      <c r="J360" t="s">
        <v>1012</v>
      </c>
      <c r="K360">
        <v>43.295144100000002</v>
      </c>
      <c r="L360">
        <v>13.4566856</v>
      </c>
      <c r="M360" t="s">
        <v>789</v>
      </c>
      <c r="N360" t="str">
        <f>TRIM(MID(M360,FIND(",",M360,FIND(",",M360)+1)+1,FIND(",",M360,FIND(",",M360,FIND(",",M360)+1)+1)-FIND(",",M360,FIND(",",M360)+1)-1))</f>
        <v>Macerata</v>
      </c>
    </row>
    <row r="361" spans="1:14" x14ac:dyDescent="0.3">
      <c r="A361">
        <v>360</v>
      </c>
      <c r="B361">
        <v>22</v>
      </c>
      <c r="D361" t="s">
        <v>1013</v>
      </c>
      <c r="E361" t="s">
        <v>762</v>
      </c>
      <c r="F361">
        <v>5</v>
      </c>
      <c r="G361">
        <v>19</v>
      </c>
      <c r="J361" t="s">
        <v>1014</v>
      </c>
      <c r="K361">
        <v>43.2967096</v>
      </c>
      <c r="L361">
        <v>13.456914100000001</v>
      </c>
      <c r="M361" t="s">
        <v>1015</v>
      </c>
      <c r="N361" t="str">
        <f>TRIM(MID(M361,FIND(",",M361,FIND(",",M361)+1)+1,FIND(",",M361,FIND(",",M361,FIND(",",M361)+1)+1)-FIND(",",M361,FIND(",",M361)+1)-1))</f>
        <v>Verdi</v>
      </c>
    </row>
    <row r="362" spans="1:14" x14ac:dyDescent="0.3">
      <c r="A362">
        <v>361</v>
      </c>
      <c r="B362">
        <v>22</v>
      </c>
      <c r="D362" t="s">
        <v>1016</v>
      </c>
      <c r="E362" t="s">
        <v>815</v>
      </c>
      <c r="F362">
        <v>8</v>
      </c>
      <c r="G362">
        <v>8</v>
      </c>
      <c r="J362" t="s">
        <v>1017</v>
      </c>
      <c r="K362">
        <v>43.293633800000002</v>
      </c>
      <c r="L362">
        <v>13.455932600000001</v>
      </c>
      <c r="M362" t="s">
        <v>1018</v>
      </c>
      <c r="N362" t="str">
        <f>TRIM(MID(M362,FIND(",",M362,FIND(",",M362)+1)+1,FIND(",",M362,FIND(",",M362,FIND(",",M362)+1)+1)-FIND(",",M362,FIND(",",M362)+1)-1))</f>
        <v>Macerata</v>
      </c>
    </row>
    <row r="363" spans="1:14" x14ac:dyDescent="0.3">
      <c r="A363">
        <v>362</v>
      </c>
      <c r="B363">
        <v>22</v>
      </c>
      <c r="D363" t="s">
        <v>1019</v>
      </c>
      <c r="E363" t="s">
        <v>984</v>
      </c>
      <c r="F363">
        <v>12</v>
      </c>
      <c r="G363">
        <v>54</v>
      </c>
      <c r="J363" t="s">
        <v>1020</v>
      </c>
      <c r="K363">
        <v>43.296669600000001</v>
      </c>
      <c r="L363">
        <v>13.453969600000001</v>
      </c>
      <c r="M363" t="s">
        <v>1021</v>
      </c>
      <c r="N363" t="str">
        <f>TRIM(MID(M363,FIND(",",M363,FIND(",",M363)+1)+1,FIND(",",M363,FIND(",",M363,FIND(",",M363)+1)+1)-FIND(",",M363,FIND(",",M363)+1)-1))</f>
        <v>Viale San Giovanni Bosco</v>
      </c>
    </row>
    <row r="364" spans="1:14" x14ac:dyDescent="0.3">
      <c r="A364">
        <v>363</v>
      </c>
      <c r="B364">
        <v>23</v>
      </c>
      <c r="D364" t="s">
        <v>1022</v>
      </c>
      <c r="E364" t="s">
        <v>450</v>
      </c>
      <c r="F364">
        <v>2</v>
      </c>
      <c r="G364">
        <v>16</v>
      </c>
      <c r="J364" t="s">
        <v>1023</v>
      </c>
      <c r="K364">
        <v>43.250535200000002</v>
      </c>
      <c r="L364">
        <v>13.5127436</v>
      </c>
      <c r="M364" t="s">
        <v>452</v>
      </c>
      <c r="N364" t="str">
        <f>TRIM(MID(M364,FIND(",",M364,FIND(",",M364)+1)+1,FIND(",",M364,FIND(",",M364,FIND(",",M364)+1)+1)-FIND(",",M364,FIND(",",M364)+1)-1))</f>
        <v>Macerata</v>
      </c>
    </row>
    <row r="365" spans="1:14" x14ac:dyDescent="0.3">
      <c r="A365">
        <v>364</v>
      </c>
      <c r="B365">
        <v>23</v>
      </c>
      <c r="D365" t="s">
        <v>1024</v>
      </c>
      <c r="E365" t="s">
        <v>1024</v>
      </c>
      <c r="F365" t="s">
        <v>22</v>
      </c>
      <c r="G365" t="s">
        <v>22</v>
      </c>
      <c r="J365" t="s">
        <v>1025</v>
      </c>
      <c r="K365">
        <v>43.300175799999998</v>
      </c>
      <c r="L365">
        <v>13.443510399999999</v>
      </c>
      <c r="M365" t="s">
        <v>1026</v>
      </c>
      <c r="N365" t="str">
        <f>TRIM(MID(M365,FIND(",",M365,FIND(",",M365)+1)+1,FIND(",",M365,FIND(",",M365,FIND(",",M365)+1)+1)-FIND(",",M365,FIND(",",M365)+1)-1))</f>
        <v>Fonte Scodella</v>
      </c>
    </row>
    <row r="366" spans="1:14" x14ac:dyDescent="0.3">
      <c r="A366">
        <v>365</v>
      </c>
      <c r="B366">
        <v>23</v>
      </c>
      <c r="D366" t="s">
        <v>1027</v>
      </c>
      <c r="E366" t="s">
        <v>1027</v>
      </c>
      <c r="F366" t="s">
        <v>22</v>
      </c>
      <c r="G366" t="s">
        <v>22</v>
      </c>
      <c r="J366" t="s">
        <v>1028</v>
      </c>
      <c r="K366">
        <v>43.2942958</v>
      </c>
      <c r="L366">
        <v>13.4387387</v>
      </c>
      <c r="M366" t="s">
        <v>1029</v>
      </c>
      <c r="N366" t="str">
        <f>TRIM(MID(M366,FIND(",",M366,FIND(",",M366)+1)+1,FIND(",",M366,FIND(",",M366,FIND(",",M366)+1)+1)-FIND(",",M366,FIND(",",M366)+1)-1))</f>
        <v>Macerata</v>
      </c>
    </row>
    <row r="367" spans="1:14" x14ac:dyDescent="0.3">
      <c r="A367">
        <v>366</v>
      </c>
      <c r="B367">
        <v>23</v>
      </c>
      <c r="D367" t="s">
        <v>1030</v>
      </c>
      <c r="E367" t="s">
        <v>1030</v>
      </c>
      <c r="F367" t="s">
        <v>22</v>
      </c>
      <c r="G367" t="s">
        <v>22</v>
      </c>
      <c r="J367" t="s">
        <v>1031</v>
      </c>
      <c r="N367" t="e">
        <f>TRIM(MID(M367,FIND(",",M367,FIND(",",M367)+1)+1,FIND(",",M367,FIND(",",M367,FIND(",",M367)+1)+1)-FIND(",",M367,FIND(",",M367)+1)-1))</f>
        <v>#VALUE!</v>
      </c>
    </row>
    <row r="368" spans="1:14" x14ac:dyDescent="0.3">
      <c r="A368">
        <v>367</v>
      </c>
      <c r="B368">
        <v>23</v>
      </c>
      <c r="D368" t="s">
        <v>1032</v>
      </c>
      <c r="E368" t="s">
        <v>1033</v>
      </c>
      <c r="F368">
        <v>3</v>
      </c>
      <c r="G368">
        <v>5</v>
      </c>
      <c r="J368" t="s">
        <v>1034</v>
      </c>
      <c r="K368">
        <v>43.294587100000001</v>
      </c>
      <c r="L368">
        <v>13.438061899999999</v>
      </c>
      <c r="M368" t="s">
        <v>1035</v>
      </c>
      <c r="N368" t="str">
        <f>TRIM(MID(M368,FIND(",",M368,FIND(",",M368)+1)+1,FIND(",",M368,FIND(",",M368,FIND(",",M368)+1)+1)-FIND(",",M368,FIND(",",M368)+1)-1))</f>
        <v>Via Jacopo Robusti</v>
      </c>
    </row>
    <row r="369" spans="1:14" x14ac:dyDescent="0.3">
      <c r="A369">
        <v>368</v>
      </c>
      <c r="B369">
        <v>23</v>
      </c>
      <c r="D369" t="s">
        <v>1032</v>
      </c>
      <c r="E369" t="s">
        <v>1033</v>
      </c>
      <c r="F369">
        <v>4</v>
      </c>
      <c r="G369">
        <v>8</v>
      </c>
      <c r="J369" t="s">
        <v>1036</v>
      </c>
      <c r="K369">
        <v>43.290231400000003</v>
      </c>
      <c r="L369">
        <v>13.4365346</v>
      </c>
      <c r="M369" t="s">
        <v>1037</v>
      </c>
      <c r="N369" t="str">
        <f>TRIM(MID(M369,FIND(",",M369,FIND(",",M369)+1)+1,FIND(",",M369,FIND(",",M369,FIND(",",M369)+1)+1)-FIND(",",M369,FIND(",",M369)+1)-1))</f>
        <v>San Francesco</v>
      </c>
    </row>
    <row r="370" spans="1:14" x14ac:dyDescent="0.3">
      <c r="A370">
        <v>369</v>
      </c>
      <c r="B370">
        <v>23</v>
      </c>
      <c r="D370" t="s">
        <v>1038</v>
      </c>
      <c r="E370" t="s">
        <v>1039</v>
      </c>
      <c r="F370">
        <v>2</v>
      </c>
      <c r="G370">
        <v>196</v>
      </c>
      <c r="J370" t="s">
        <v>1040</v>
      </c>
      <c r="K370">
        <v>43.301366399999999</v>
      </c>
      <c r="L370">
        <v>13.441151700000001</v>
      </c>
      <c r="M370" t="s">
        <v>1041</v>
      </c>
      <c r="N370" t="str">
        <f>TRIM(MID(M370,FIND(",",M370,FIND(",",M370)+1)+1,FIND(",",M370,FIND(",",M370,FIND(",",M370)+1)+1)-FIND(",",M370,FIND(",",M370)+1)-1))</f>
        <v>Tre Vie</v>
      </c>
    </row>
    <row r="371" spans="1:14" x14ac:dyDescent="0.3">
      <c r="A371">
        <v>370</v>
      </c>
      <c r="B371">
        <v>24</v>
      </c>
      <c r="D371" t="s">
        <v>1042</v>
      </c>
      <c r="E371" t="s">
        <v>1043</v>
      </c>
      <c r="F371">
        <v>3</v>
      </c>
      <c r="G371">
        <v>17</v>
      </c>
      <c r="J371" t="s">
        <v>1044</v>
      </c>
      <c r="K371">
        <v>43.299129000000001</v>
      </c>
      <c r="L371">
        <v>13.436277199999999</v>
      </c>
      <c r="M371" t="s">
        <v>1045</v>
      </c>
      <c r="N371" t="str">
        <f>TRIM(MID(M371,FIND(",",M371,FIND(",",M371)+1)+1,FIND(",",M371,FIND(",",M371,FIND(",",M371)+1)+1)-FIND(",",M371,FIND(",",M371)+1)-1))</f>
        <v>Santa Croce</v>
      </c>
    </row>
    <row r="372" spans="1:14" x14ac:dyDescent="0.3">
      <c r="A372">
        <v>371</v>
      </c>
      <c r="B372">
        <v>24</v>
      </c>
      <c r="D372" t="s">
        <v>1042</v>
      </c>
      <c r="E372" t="s">
        <v>1043</v>
      </c>
      <c r="F372">
        <v>4</v>
      </c>
      <c r="G372">
        <v>10</v>
      </c>
      <c r="J372" t="s">
        <v>1046</v>
      </c>
      <c r="K372">
        <v>43.299129000000001</v>
      </c>
      <c r="L372">
        <v>13.436277199999999</v>
      </c>
      <c r="M372" t="s">
        <v>1045</v>
      </c>
      <c r="N372" t="str">
        <f>TRIM(MID(M372,FIND(",",M372,FIND(",",M372)+1)+1,FIND(",",M372,FIND(",",M372,FIND(",",M372)+1)+1)-FIND(",",M372,FIND(",",M372)+1)-1))</f>
        <v>Santa Croce</v>
      </c>
    </row>
    <row r="373" spans="1:14" x14ac:dyDescent="0.3">
      <c r="A373">
        <v>372</v>
      </c>
      <c r="B373">
        <v>24</v>
      </c>
      <c r="D373" t="s">
        <v>1047</v>
      </c>
      <c r="E373" t="s">
        <v>1047</v>
      </c>
      <c r="F373" t="s">
        <v>22</v>
      </c>
      <c r="G373" t="s">
        <v>22</v>
      </c>
      <c r="J373" t="s">
        <v>1048</v>
      </c>
      <c r="K373">
        <v>43.301230400000001</v>
      </c>
      <c r="L373">
        <v>13.4387942</v>
      </c>
      <c r="M373" t="s">
        <v>1049</v>
      </c>
      <c r="N373" t="str">
        <f>TRIM(MID(M373,FIND(",",M373,FIND(",",M373)+1)+1,FIND(",",M373,FIND(",",M373,FIND(",",M373)+1)+1)-FIND(",",M373,FIND(",",M373)+1)-1))</f>
        <v>Santa Croce</v>
      </c>
    </row>
    <row r="374" spans="1:14" x14ac:dyDescent="0.3">
      <c r="A374">
        <v>373</v>
      </c>
      <c r="B374">
        <v>24</v>
      </c>
      <c r="D374" t="s">
        <v>1050</v>
      </c>
      <c r="E374" t="s">
        <v>1051</v>
      </c>
      <c r="F374">
        <v>2</v>
      </c>
      <c r="G374">
        <v>8</v>
      </c>
      <c r="J374" t="s">
        <v>1052</v>
      </c>
      <c r="K374">
        <v>43.299385399999998</v>
      </c>
      <c r="L374">
        <v>13.4374038</v>
      </c>
      <c r="M374" t="s">
        <v>1053</v>
      </c>
      <c r="N374" t="str">
        <f>TRIM(MID(M374,FIND(",",M374,FIND(",",M374)+1)+1,FIND(",",M374,FIND(",",M374,FIND(",",M374)+1)+1)-FIND(",",M374,FIND(",",M374)+1)-1))</f>
        <v>Santa Croce</v>
      </c>
    </row>
    <row r="375" spans="1:14" x14ac:dyDescent="0.3">
      <c r="A375">
        <v>374</v>
      </c>
      <c r="B375">
        <v>24</v>
      </c>
      <c r="D375" t="s">
        <v>1054</v>
      </c>
      <c r="E375" t="s">
        <v>1055</v>
      </c>
      <c r="F375">
        <v>6</v>
      </c>
      <c r="G375">
        <v>24</v>
      </c>
      <c r="J375" t="s">
        <v>1056</v>
      </c>
      <c r="K375">
        <v>43.300835300000003</v>
      </c>
      <c r="L375">
        <v>13.4377146</v>
      </c>
      <c r="M375" t="s">
        <v>1057</v>
      </c>
      <c r="N375" t="str">
        <f>TRIM(MID(M375,FIND(",",M375,FIND(",",M375)+1)+1,FIND(",",M375,FIND(",",M375,FIND(",",M375)+1)+1)-FIND(",",M375,FIND(",",M375)+1)-1))</f>
        <v>Tre Vie</v>
      </c>
    </row>
    <row r="376" spans="1:14" x14ac:dyDescent="0.3">
      <c r="A376">
        <v>375</v>
      </c>
      <c r="B376">
        <v>24</v>
      </c>
      <c r="D376" t="s">
        <v>1058</v>
      </c>
      <c r="E376" t="s">
        <v>1059</v>
      </c>
      <c r="F376">
        <v>7</v>
      </c>
      <c r="G376">
        <v>41</v>
      </c>
      <c r="J376" t="s">
        <v>1060</v>
      </c>
      <c r="K376">
        <v>43.299716799999999</v>
      </c>
      <c r="L376">
        <v>13.439055400000001</v>
      </c>
      <c r="M376" t="s">
        <v>1061</v>
      </c>
      <c r="N376" t="str">
        <f>TRIM(MID(M376,FIND(",",M376,FIND(",",M376)+1)+1,FIND(",",M376,FIND(",",M376,FIND(",",M376)+1)+1)-FIND(",",M376,FIND(",",M376)+1)-1))</f>
        <v>Tre Vie</v>
      </c>
    </row>
    <row r="377" spans="1:14" x14ac:dyDescent="0.3">
      <c r="A377">
        <v>376</v>
      </c>
      <c r="B377">
        <v>24</v>
      </c>
      <c r="D377" t="s">
        <v>1058</v>
      </c>
      <c r="E377" t="s">
        <v>1059</v>
      </c>
      <c r="F377">
        <v>2</v>
      </c>
      <c r="G377">
        <v>60</v>
      </c>
      <c r="J377" t="s">
        <v>1062</v>
      </c>
      <c r="K377">
        <v>43.2967753</v>
      </c>
      <c r="L377">
        <v>13.4373842</v>
      </c>
      <c r="M377" t="s">
        <v>1063</v>
      </c>
      <c r="N377" t="str">
        <f>TRIM(MID(M377,FIND(",",M377,FIND(",",M377)+1)+1,FIND(",",M377,FIND(",",M377,FIND(",",M377)+1)+1)-FIND(",",M377,FIND(",",M377)+1)-1))</f>
        <v>Santa Croce</v>
      </c>
    </row>
    <row r="378" spans="1:14" x14ac:dyDescent="0.3">
      <c r="A378">
        <v>377</v>
      </c>
      <c r="B378">
        <v>24</v>
      </c>
      <c r="D378" t="s">
        <v>1064</v>
      </c>
      <c r="E378" t="s">
        <v>1039</v>
      </c>
      <c r="F378">
        <v>19</v>
      </c>
      <c r="G378">
        <v>183</v>
      </c>
      <c r="J378" t="s">
        <v>1065</v>
      </c>
      <c r="K378">
        <v>43.436724400000003</v>
      </c>
      <c r="L378">
        <v>13.6601552</v>
      </c>
      <c r="M378" t="s">
        <v>1066</v>
      </c>
      <c r="N378" t="str">
        <f>TRIM(MID(M378,FIND(",",M378,FIND(",",M378)+1)+1,FIND(",",M378,FIND(",",M378,FIND(",",M378)+1)+1)-FIND(",",M378,FIND(",",M378)+1)-1))</f>
        <v>Porto Recanati</v>
      </c>
    </row>
    <row r="379" spans="1:14" x14ac:dyDescent="0.3">
      <c r="A379">
        <v>378</v>
      </c>
      <c r="B379">
        <v>24</v>
      </c>
      <c r="D379" t="s">
        <v>1067</v>
      </c>
      <c r="E379" t="s">
        <v>1068</v>
      </c>
      <c r="F379">
        <v>2</v>
      </c>
      <c r="G379">
        <v>10</v>
      </c>
      <c r="J379" t="s">
        <v>1069</v>
      </c>
      <c r="K379">
        <v>43.299295399999998</v>
      </c>
      <c r="L379">
        <v>13.4334816</v>
      </c>
      <c r="M379" t="s">
        <v>1070</v>
      </c>
      <c r="N379" t="str">
        <f>TRIM(MID(M379,FIND(",",M379,FIND(",",M379)+1)+1,FIND(",",M379,FIND(",",M379,FIND(",",M379)+1)+1)-FIND(",",M379,FIND(",",M379)+1)-1))</f>
        <v>Santa Croce</v>
      </c>
    </row>
    <row r="380" spans="1:14" x14ac:dyDescent="0.3">
      <c r="A380">
        <v>379</v>
      </c>
      <c r="B380">
        <v>24</v>
      </c>
      <c r="D380" t="s">
        <v>1071</v>
      </c>
      <c r="E380" t="s">
        <v>1072</v>
      </c>
      <c r="F380">
        <v>7</v>
      </c>
      <c r="G380">
        <v>27</v>
      </c>
      <c r="J380" t="s">
        <v>1073</v>
      </c>
      <c r="K380">
        <v>43.296340899999997</v>
      </c>
      <c r="L380">
        <v>13.4364194</v>
      </c>
      <c r="M380" t="s">
        <v>1074</v>
      </c>
      <c r="N380" t="str">
        <f>TRIM(MID(M380,FIND(",",M380,FIND(",",M380)+1)+1,FIND(",",M380,FIND(",",M380,FIND(",",M380)+1)+1)-FIND(",",M380,FIND(",",M380)+1)-1))</f>
        <v>Macerata</v>
      </c>
    </row>
    <row r="381" spans="1:14" x14ac:dyDescent="0.3">
      <c r="A381">
        <v>380</v>
      </c>
      <c r="B381">
        <v>24</v>
      </c>
      <c r="D381" t="s">
        <v>1071</v>
      </c>
      <c r="E381" t="s">
        <v>1072</v>
      </c>
      <c r="F381">
        <v>4</v>
      </c>
      <c r="G381">
        <v>48</v>
      </c>
      <c r="J381" t="s">
        <v>1075</v>
      </c>
      <c r="K381">
        <v>43.296139199999999</v>
      </c>
      <c r="L381">
        <v>13.436402299999999</v>
      </c>
      <c r="M381" t="s">
        <v>1074</v>
      </c>
      <c r="N381" t="str">
        <f>TRIM(MID(M381,FIND(",",M381,FIND(",",M381)+1)+1,FIND(",",M381,FIND(",",M381,FIND(",",M381)+1)+1)-FIND(",",M381,FIND(",",M381)+1)-1))</f>
        <v>Macerata</v>
      </c>
    </row>
    <row r="382" spans="1:14" x14ac:dyDescent="0.3">
      <c r="A382">
        <v>381</v>
      </c>
      <c r="B382">
        <v>24</v>
      </c>
      <c r="D382" t="s">
        <v>1076</v>
      </c>
      <c r="E382" t="s">
        <v>1077</v>
      </c>
      <c r="F382">
        <v>5</v>
      </c>
      <c r="G382">
        <v>35</v>
      </c>
      <c r="J382" t="s">
        <v>1078</v>
      </c>
      <c r="K382">
        <v>43.298235099999999</v>
      </c>
      <c r="L382">
        <v>13.431816400000001</v>
      </c>
      <c r="M382" t="s">
        <v>1079</v>
      </c>
      <c r="N382" t="str">
        <f>TRIM(MID(M382,FIND(",",M382,FIND(",",M382)+1)+1,FIND(",",M382,FIND(",",M382,FIND(",",M382)+1)+1)-FIND(",",M382,FIND(",",M382)+1)-1))</f>
        <v>Santa Croce</v>
      </c>
    </row>
    <row r="383" spans="1:14" x14ac:dyDescent="0.3">
      <c r="A383">
        <v>382</v>
      </c>
      <c r="B383">
        <v>24</v>
      </c>
      <c r="D383" t="s">
        <v>1080</v>
      </c>
      <c r="E383" t="s">
        <v>1081</v>
      </c>
      <c r="F383">
        <v>9</v>
      </c>
      <c r="G383">
        <v>59</v>
      </c>
      <c r="J383" t="s">
        <v>1082</v>
      </c>
      <c r="K383">
        <v>43.3001541</v>
      </c>
      <c r="L383">
        <v>13.438226800000001</v>
      </c>
      <c r="M383" t="s">
        <v>1083</v>
      </c>
      <c r="N383" t="str">
        <f>TRIM(MID(M383,FIND(",",M383,FIND(",",M383)+1)+1,FIND(",",M383,FIND(",",M383,FIND(",",M383)+1)+1)-FIND(",",M383,FIND(",",M383)+1)-1))</f>
        <v>Santa Croce</v>
      </c>
    </row>
    <row r="384" spans="1:14" x14ac:dyDescent="0.3">
      <c r="A384">
        <v>383</v>
      </c>
      <c r="B384">
        <v>24</v>
      </c>
      <c r="D384" t="s">
        <v>1080</v>
      </c>
      <c r="E384" t="s">
        <v>1081</v>
      </c>
      <c r="F384">
        <v>2</v>
      </c>
      <c r="G384">
        <v>36</v>
      </c>
      <c r="J384" t="s">
        <v>1084</v>
      </c>
      <c r="K384">
        <v>43.3001541</v>
      </c>
      <c r="L384">
        <v>13.438226800000001</v>
      </c>
      <c r="M384" t="s">
        <v>1083</v>
      </c>
      <c r="N384" t="str">
        <f>TRIM(MID(M384,FIND(",",M384,FIND(",",M384)+1)+1,FIND(",",M384,FIND(",",M384,FIND(",",M384)+1)+1)-FIND(",",M384,FIND(",",M384)+1)-1))</f>
        <v>Santa Croce</v>
      </c>
    </row>
    <row r="385" spans="1:14" x14ac:dyDescent="0.3">
      <c r="A385">
        <v>384</v>
      </c>
      <c r="B385">
        <v>24</v>
      </c>
      <c r="D385" t="s">
        <v>1085</v>
      </c>
      <c r="E385" t="s">
        <v>1085</v>
      </c>
      <c r="F385" t="s">
        <v>22</v>
      </c>
      <c r="G385" t="s">
        <v>22</v>
      </c>
      <c r="J385" t="s">
        <v>1086</v>
      </c>
      <c r="K385">
        <v>43.299399000000001</v>
      </c>
      <c r="L385">
        <v>13.434967</v>
      </c>
      <c r="M385" t="s">
        <v>1087</v>
      </c>
      <c r="N385" t="str">
        <f>TRIM(MID(M385,FIND(",",M385,FIND(",",M385)+1)+1,FIND(",",M385,FIND(",",M385,FIND(",",M385)+1)+1)-FIND(",",M385,FIND(",",M385)+1)-1))</f>
        <v>Santa Croce</v>
      </c>
    </row>
    <row r="386" spans="1:14" x14ac:dyDescent="0.3">
      <c r="A386">
        <v>385</v>
      </c>
      <c r="B386">
        <v>24</v>
      </c>
      <c r="D386" t="s">
        <v>1088</v>
      </c>
      <c r="E386" t="s">
        <v>1088</v>
      </c>
      <c r="F386" t="s">
        <v>22</v>
      </c>
      <c r="G386" t="s">
        <v>22</v>
      </c>
      <c r="J386" t="s">
        <v>1089</v>
      </c>
      <c r="K386">
        <v>43.299514700000003</v>
      </c>
      <c r="L386">
        <v>13.4352617</v>
      </c>
      <c r="M386" t="s">
        <v>1090</v>
      </c>
      <c r="N386" t="str">
        <f>TRIM(MID(M386,FIND(",",M386,FIND(",",M386)+1)+1,FIND(",",M386,FIND(",",M386,FIND(",",M386)+1)+1)-FIND(",",M386,FIND(",",M386)+1)-1))</f>
        <v>Santa Croce</v>
      </c>
    </row>
    <row r="387" spans="1:14" x14ac:dyDescent="0.3">
      <c r="A387">
        <v>386</v>
      </c>
      <c r="B387">
        <v>25</v>
      </c>
      <c r="D387" t="s">
        <v>1091</v>
      </c>
      <c r="E387" t="s">
        <v>1092</v>
      </c>
      <c r="F387">
        <v>1</v>
      </c>
      <c r="G387">
        <v>109</v>
      </c>
      <c r="J387" t="s">
        <v>1093</v>
      </c>
      <c r="K387">
        <v>43.298582799999998</v>
      </c>
      <c r="L387">
        <v>13.432903100000001</v>
      </c>
      <c r="M387" t="s">
        <v>1094</v>
      </c>
      <c r="N387" t="str">
        <f>TRIM(MID(M387,FIND(",",M387,FIND(",",M387)+1)+1,FIND(",",M387,FIND(",",M387,FIND(",",M387)+1)+1)-FIND(",",M387,FIND(",",M387)+1)-1))</f>
        <v>Tre Vie</v>
      </c>
    </row>
    <row r="388" spans="1:14" x14ac:dyDescent="0.3">
      <c r="A388">
        <v>387</v>
      </c>
      <c r="B388">
        <v>25</v>
      </c>
      <c r="D388" t="s">
        <v>1095</v>
      </c>
      <c r="E388" t="s">
        <v>1055</v>
      </c>
      <c r="F388">
        <v>1</v>
      </c>
      <c r="G388">
        <v>19</v>
      </c>
      <c r="J388" t="s">
        <v>1096</v>
      </c>
      <c r="K388">
        <v>43.301312899999999</v>
      </c>
      <c r="L388">
        <v>13.4384233</v>
      </c>
      <c r="M388" t="s">
        <v>1097</v>
      </c>
      <c r="N388" t="str">
        <f>TRIM(MID(M388,FIND(",",M388,FIND(",",M388)+1)+1,FIND(",",M388,FIND(",",M388,FIND(",",M388)+1)+1)-FIND(",",M388,FIND(",",M388)+1)-1))</f>
        <v>Via Carlo Giuliozzi</v>
      </c>
    </row>
    <row r="389" spans="1:14" x14ac:dyDescent="0.3">
      <c r="A389">
        <v>388</v>
      </c>
      <c r="B389">
        <v>25</v>
      </c>
      <c r="D389" t="s">
        <v>1098</v>
      </c>
      <c r="E389" t="s">
        <v>1099</v>
      </c>
      <c r="F389" t="s">
        <v>22</v>
      </c>
      <c r="G389" t="s">
        <v>22</v>
      </c>
      <c r="J389" t="s">
        <v>1100</v>
      </c>
      <c r="K389">
        <v>43.301527299999997</v>
      </c>
      <c r="L389">
        <v>13.4377862</v>
      </c>
      <c r="M389" t="s">
        <v>1101</v>
      </c>
      <c r="N389" t="str">
        <f>TRIM(MID(M389,FIND(",",M389,FIND(",",M389)+1)+1,FIND(",",M389,FIND(",",M389,FIND(",",M389)+1)+1)-FIND(",",M389,FIND(",",M389)+1)-1))</f>
        <v>Santa Croce</v>
      </c>
    </row>
    <row r="390" spans="1:14" x14ac:dyDescent="0.3">
      <c r="A390">
        <v>389</v>
      </c>
      <c r="B390">
        <v>25</v>
      </c>
      <c r="D390" t="s">
        <v>1102</v>
      </c>
      <c r="E390" t="s">
        <v>1102</v>
      </c>
      <c r="F390" t="s">
        <v>22</v>
      </c>
      <c r="G390" t="s">
        <v>22</v>
      </c>
      <c r="J390" t="s">
        <v>1103</v>
      </c>
      <c r="K390">
        <v>43.301333200000002</v>
      </c>
      <c r="L390">
        <v>13.4379285</v>
      </c>
      <c r="M390" t="s">
        <v>1104</v>
      </c>
      <c r="N390" t="str">
        <f>TRIM(MID(M390,FIND(",",M390,FIND(",",M390)+1)+1,FIND(",",M390,FIND(",",M390,FIND(",",M390)+1)+1)-FIND(",",M390,FIND(",",M390)+1)-1))</f>
        <v>Santa Croce</v>
      </c>
    </row>
    <row r="391" spans="1:14" x14ac:dyDescent="0.3">
      <c r="A391">
        <v>390</v>
      </c>
      <c r="B391">
        <v>25</v>
      </c>
      <c r="D391" t="s">
        <v>1105</v>
      </c>
      <c r="E391" t="s">
        <v>1105</v>
      </c>
      <c r="F391" t="s">
        <v>22</v>
      </c>
      <c r="G391" t="s">
        <v>22</v>
      </c>
      <c r="J391" t="s">
        <v>1106</v>
      </c>
      <c r="N391" t="e">
        <f>TRIM(MID(M391,FIND(",",M391,FIND(",",M391)+1)+1,FIND(",",M391,FIND(",",M391,FIND(",",M391)+1)+1)-FIND(",",M391,FIND(",",M391)+1)-1))</f>
        <v>#VALUE!</v>
      </c>
    </row>
    <row r="392" spans="1:14" x14ac:dyDescent="0.3">
      <c r="A392">
        <v>391</v>
      </c>
      <c r="B392">
        <v>25</v>
      </c>
      <c r="D392" t="s">
        <v>1107</v>
      </c>
      <c r="E392" t="s">
        <v>1068</v>
      </c>
      <c r="F392">
        <v>1</v>
      </c>
      <c r="G392">
        <v>119</v>
      </c>
      <c r="J392" t="s">
        <v>1108</v>
      </c>
      <c r="K392">
        <v>43.299295399999998</v>
      </c>
      <c r="L392">
        <v>13.4334816</v>
      </c>
      <c r="M392" t="s">
        <v>1070</v>
      </c>
      <c r="N392" t="str">
        <f>TRIM(MID(M392,FIND(",",M392,FIND(",",M392)+1)+1,FIND(",",M392,FIND(",",M392,FIND(",",M392)+1)+1)-FIND(",",M392,FIND(",",M392)+1)-1))</f>
        <v>Santa Croce</v>
      </c>
    </row>
    <row r="393" spans="1:14" x14ac:dyDescent="0.3">
      <c r="A393">
        <v>392</v>
      </c>
      <c r="B393">
        <v>25</v>
      </c>
      <c r="D393" t="s">
        <v>1107</v>
      </c>
      <c r="E393" t="s">
        <v>1068</v>
      </c>
      <c r="F393">
        <v>14</v>
      </c>
      <c r="G393">
        <v>158</v>
      </c>
      <c r="J393" t="s">
        <v>1109</v>
      </c>
      <c r="K393">
        <v>43.299295399999998</v>
      </c>
      <c r="L393">
        <v>13.4334816</v>
      </c>
      <c r="M393" t="s">
        <v>1070</v>
      </c>
      <c r="N393" t="str">
        <f>TRIM(MID(M393,FIND(",",M393,FIND(",",M393)+1)+1,FIND(",",M393,FIND(",",M393,FIND(",",M393)+1)+1)-FIND(",",M393,FIND(",",M393)+1)-1))</f>
        <v>Santa Croce</v>
      </c>
    </row>
    <row r="394" spans="1:14" x14ac:dyDescent="0.3">
      <c r="A394">
        <v>393</v>
      </c>
      <c r="B394">
        <v>25</v>
      </c>
      <c r="D394" t="s">
        <v>1110</v>
      </c>
      <c r="E394" t="s">
        <v>500</v>
      </c>
      <c r="F394">
        <v>2</v>
      </c>
      <c r="G394">
        <v>22</v>
      </c>
      <c r="J394" t="s">
        <v>1111</v>
      </c>
      <c r="K394">
        <v>43.302565399999999</v>
      </c>
      <c r="L394">
        <v>13.4396209</v>
      </c>
      <c r="M394" t="s">
        <v>1112</v>
      </c>
      <c r="N394" t="str">
        <f>TRIM(MID(M394,FIND(",",M394,FIND(",",M394)+1)+1,FIND(",",M394,FIND(",",M394,FIND(",",M394)+1)+1)-FIND(",",M394,FIND(",",M394)+1)-1))</f>
        <v>Tre Vie</v>
      </c>
    </row>
    <row r="395" spans="1:14" x14ac:dyDescent="0.3">
      <c r="A395">
        <v>394</v>
      </c>
      <c r="B395">
        <v>25</v>
      </c>
      <c r="D395" t="s">
        <v>1113</v>
      </c>
      <c r="E395" t="s">
        <v>1077</v>
      </c>
      <c r="F395">
        <v>49</v>
      </c>
      <c r="G395">
        <v>69</v>
      </c>
      <c r="J395" t="s">
        <v>1114</v>
      </c>
      <c r="K395">
        <v>43.298235099999999</v>
      </c>
      <c r="L395">
        <v>13.431816400000001</v>
      </c>
      <c r="M395" t="s">
        <v>1079</v>
      </c>
      <c r="N395" t="str">
        <f>TRIM(MID(M395,FIND(",",M395,FIND(",",M395)+1)+1,FIND(",",M395,FIND(",",M395,FIND(",",M395)+1)+1)-FIND(",",M395,FIND(",",M395)+1)-1))</f>
        <v>Santa Croce</v>
      </c>
    </row>
    <row r="396" spans="1:14" x14ac:dyDescent="0.3">
      <c r="A396">
        <v>395</v>
      </c>
      <c r="B396">
        <v>26</v>
      </c>
      <c r="D396" t="s">
        <v>1115</v>
      </c>
      <c r="E396" t="s">
        <v>1092</v>
      </c>
      <c r="F396">
        <v>111</v>
      </c>
      <c r="G396">
        <v>169</v>
      </c>
      <c r="J396" t="s">
        <v>1116</v>
      </c>
      <c r="K396">
        <v>43.300867199999999</v>
      </c>
      <c r="L396">
        <v>13.4285987</v>
      </c>
      <c r="M396" t="s">
        <v>1117</v>
      </c>
      <c r="N396" t="str">
        <f>TRIM(MID(M396,FIND(",",M396,FIND(",",M396)+1)+1,FIND(",",M396,FIND(",",M396,FIND(",",M396)+1)+1)-FIND(",",M396,FIND(",",M396)+1)-1))</f>
        <v>Santa Croce</v>
      </c>
    </row>
    <row r="397" spans="1:14" x14ac:dyDescent="0.3">
      <c r="A397">
        <v>396</v>
      </c>
      <c r="B397">
        <v>26</v>
      </c>
      <c r="D397" t="s">
        <v>1115</v>
      </c>
      <c r="E397" t="s">
        <v>1092</v>
      </c>
      <c r="F397">
        <v>2</v>
      </c>
      <c r="G397">
        <v>74</v>
      </c>
      <c r="J397" t="s">
        <v>1118</v>
      </c>
      <c r="K397">
        <v>43.300867199999999</v>
      </c>
      <c r="L397">
        <v>13.4285987</v>
      </c>
      <c r="M397" t="s">
        <v>1117</v>
      </c>
      <c r="N397" t="str">
        <f>TRIM(MID(M397,FIND(",",M397,FIND(",",M397)+1)+1,FIND(",",M397,FIND(",",M397,FIND(",",M397)+1)+1)-FIND(",",M397,FIND(",",M397)+1)-1))</f>
        <v>Santa Croce</v>
      </c>
    </row>
    <row r="398" spans="1:14" x14ac:dyDescent="0.3">
      <c r="A398">
        <v>397</v>
      </c>
      <c r="B398">
        <v>26</v>
      </c>
      <c r="D398" t="s">
        <v>1119</v>
      </c>
      <c r="E398" t="s">
        <v>1120</v>
      </c>
      <c r="F398">
        <v>7</v>
      </c>
      <c r="G398">
        <v>25</v>
      </c>
      <c r="J398" t="s">
        <v>1121</v>
      </c>
      <c r="N398" t="e">
        <f>TRIM(MID(M398,FIND(",",M398,FIND(",",M398)+1)+1,FIND(",",M398,FIND(",",M398,FIND(",",M398)+1)+1)-FIND(",",M398,FIND(",",M398)+1)-1))</f>
        <v>#VALUE!</v>
      </c>
    </row>
    <row r="399" spans="1:14" x14ac:dyDescent="0.3">
      <c r="A399">
        <v>398</v>
      </c>
      <c r="B399">
        <v>26</v>
      </c>
      <c r="D399" t="s">
        <v>1119</v>
      </c>
      <c r="E399" t="s">
        <v>1120</v>
      </c>
      <c r="F399">
        <v>8</v>
      </c>
      <c r="G399">
        <v>26</v>
      </c>
      <c r="J399" t="s">
        <v>1122</v>
      </c>
      <c r="N399" t="e">
        <f>TRIM(MID(M399,FIND(",",M399,FIND(",",M399)+1)+1,FIND(",",M399,FIND(",",M399,FIND(",",M399)+1)+1)-FIND(",",M399,FIND(",",M399)+1)-1))</f>
        <v>#VALUE!</v>
      </c>
    </row>
    <row r="400" spans="1:14" x14ac:dyDescent="0.3">
      <c r="A400">
        <v>399</v>
      </c>
      <c r="B400">
        <v>26</v>
      </c>
      <c r="D400" t="s">
        <v>1123</v>
      </c>
      <c r="E400" t="s">
        <v>1124</v>
      </c>
      <c r="F400">
        <v>1</v>
      </c>
      <c r="G400">
        <v>47</v>
      </c>
      <c r="J400" t="s">
        <v>1125</v>
      </c>
      <c r="N400" t="e">
        <f>TRIM(MID(M400,FIND(",",M400,FIND(",",M400)+1)+1,FIND(",",M400,FIND(",",M400,FIND(",",M400)+1)+1)-FIND(",",M400,FIND(",",M400)+1)-1))</f>
        <v>#VALUE!</v>
      </c>
    </row>
    <row r="401" spans="1:14" x14ac:dyDescent="0.3">
      <c r="A401">
        <v>400</v>
      </c>
      <c r="B401">
        <v>26</v>
      </c>
      <c r="D401" t="s">
        <v>1126</v>
      </c>
      <c r="E401" t="s">
        <v>1126</v>
      </c>
      <c r="F401" t="s">
        <v>22</v>
      </c>
      <c r="G401" t="s">
        <v>22</v>
      </c>
      <c r="J401" t="s">
        <v>1127</v>
      </c>
      <c r="K401">
        <v>43.298684199999997</v>
      </c>
      <c r="L401">
        <v>13.4296372</v>
      </c>
      <c r="M401" t="s">
        <v>1128</v>
      </c>
      <c r="N401" t="str">
        <f>TRIM(MID(M401,FIND(",",M401,FIND(",",M401)+1)+1,FIND(",",M401,FIND(",",M401,FIND(",",M401)+1)+1)-FIND(",",M401,FIND(",",M401)+1)-1))</f>
        <v>Colleverde</v>
      </c>
    </row>
    <row r="402" spans="1:14" x14ac:dyDescent="0.3">
      <c r="A402">
        <v>401</v>
      </c>
      <c r="B402">
        <v>26</v>
      </c>
      <c r="D402" t="s">
        <v>1129</v>
      </c>
      <c r="E402" t="s">
        <v>1129</v>
      </c>
      <c r="F402" t="s">
        <v>22</v>
      </c>
      <c r="G402" t="s">
        <v>22</v>
      </c>
      <c r="J402" t="s">
        <v>1130</v>
      </c>
      <c r="K402">
        <v>43.299873099999999</v>
      </c>
      <c r="L402">
        <v>13.4261208</v>
      </c>
      <c r="M402" t="s">
        <v>1131</v>
      </c>
      <c r="N402" t="str">
        <f>TRIM(MID(M402,FIND(",",M402,FIND(",",M402)+1)+1,FIND(",",M402,FIND(",",M402,FIND(",",M402)+1)+1)-FIND(",",M402,FIND(",",M402)+1)-1))</f>
        <v>Macerata</v>
      </c>
    </row>
    <row r="403" spans="1:14" x14ac:dyDescent="0.3">
      <c r="A403">
        <v>402</v>
      </c>
      <c r="B403">
        <v>26</v>
      </c>
      <c r="D403" t="s">
        <v>1132</v>
      </c>
      <c r="E403" t="s">
        <v>1133</v>
      </c>
      <c r="F403">
        <v>9</v>
      </c>
      <c r="G403">
        <v>55</v>
      </c>
      <c r="J403" t="s">
        <v>1134</v>
      </c>
      <c r="K403">
        <v>43.298372800000003</v>
      </c>
      <c r="L403">
        <v>13.4243294</v>
      </c>
      <c r="M403" t="s">
        <v>1135</v>
      </c>
      <c r="N403" t="str">
        <f>TRIM(MID(M403,FIND(",",M403,FIND(",",M403)+1)+1,FIND(",",M403,FIND(",",M403,FIND(",",M403)+1)+1)-FIND(",",M403,FIND(",",M403)+1)-1))</f>
        <v>Macerata</v>
      </c>
    </row>
    <row r="404" spans="1:14" x14ac:dyDescent="0.3">
      <c r="A404">
        <v>403</v>
      </c>
      <c r="B404">
        <v>26</v>
      </c>
      <c r="D404" t="s">
        <v>1136</v>
      </c>
      <c r="E404" t="s">
        <v>1137</v>
      </c>
      <c r="F404">
        <v>155</v>
      </c>
      <c r="G404">
        <v>173</v>
      </c>
      <c r="J404" t="s">
        <v>1138</v>
      </c>
      <c r="N404" t="e">
        <f>TRIM(MID(M404,FIND(",",M404,FIND(",",M404)+1)+1,FIND(",",M404,FIND(",",M404,FIND(",",M404)+1)+1)-FIND(",",M404,FIND(",",M404)+1)-1))</f>
        <v>#VALUE!</v>
      </c>
    </row>
    <row r="405" spans="1:14" x14ac:dyDescent="0.3">
      <c r="A405">
        <v>404</v>
      </c>
      <c r="B405">
        <v>26</v>
      </c>
      <c r="D405" t="s">
        <v>1139</v>
      </c>
      <c r="E405" t="s">
        <v>1139</v>
      </c>
      <c r="F405" t="s">
        <v>22</v>
      </c>
      <c r="G405" t="s">
        <v>22</v>
      </c>
      <c r="J405" t="s">
        <v>1140</v>
      </c>
      <c r="K405">
        <v>43.300240500000001</v>
      </c>
      <c r="L405">
        <v>13.429017399999999</v>
      </c>
      <c r="M405" t="s">
        <v>1141</v>
      </c>
      <c r="N405" t="str">
        <f>TRIM(MID(M405,FIND(",",M405,FIND(",",M405)+1)+1,FIND(",",M405,FIND(",",M405,FIND(",",M405)+1)+1)-FIND(",",M405,FIND(",",M405)+1)-1))</f>
        <v>Colleverde</v>
      </c>
    </row>
    <row r="406" spans="1:14" x14ac:dyDescent="0.3">
      <c r="A406">
        <v>405</v>
      </c>
      <c r="B406">
        <v>26</v>
      </c>
      <c r="D406" t="s">
        <v>1142</v>
      </c>
      <c r="E406" t="s">
        <v>500</v>
      </c>
      <c r="F406">
        <v>70</v>
      </c>
      <c r="G406">
        <v>90</v>
      </c>
      <c r="J406" t="s">
        <v>1143</v>
      </c>
      <c r="K406">
        <v>43.318986600000002</v>
      </c>
      <c r="L406">
        <v>13.426482099999999</v>
      </c>
      <c r="M406" t="s">
        <v>1144</v>
      </c>
      <c r="N406" t="str">
        <f>TRIM(MID(M406,FIND(",",M406,FIND(",",M406)+1)+1,FIND(",",M406,FIND(",",M406,FIND(",",M406)+1)+1)-FIND(",",M406,FIND(",",M406)+1)-1))</f>
        <v>Macerata</v>
      </c>
    </row>
    <row r="407" spans="1:14" x14ac:dyDescent="0.3">
      <c r="A407">
        <v>406</v>
      </c>
      <c r="B407">
        <v>26</v>
      </c>
      <c r="D407" t="s">
        <v>1145</v>
      </c>
      <c r="E407" t="s">
        <v>1145</v>
      </c>
      <c r="F407" t="s">
        <v>22</v>
      </c>
      <c r="G407" t="s">
        <v>22</v>
      </c>
      <c r="J407" t="s">
        <v>1146</v>
      </c>
      <c r="K407">
        <v>43.299506399999999</v>
      </c>
      <c r="L407">
        <v>13.4290082</v>
      </c>
      <c r="M407" t="s">
        <v>1147</v>
      </c>
      <c r="N407" t="str">
        <f>TRIM(MID(M407,FIND(",",M407,FIND(",",M407)+1)+1,FIND(",",M407,FIND(",",M407,FIND(",",M407)+1)+1)-FIND(",",M407,FIND(",",M407)+1)-1))</f>
        <v>Colleverde</v>
      </c>
    </row>
    <row r="408" spans="1:14" x14ac:dyDescent="0.3">
      <c r="A408">
        <v>407</v>
      </c>
      <c r="B408">
        <v>26</v>
      </c>
      <c r="D408" t="s">
        <v>1148</v>
      </c>
      <c r="E408" t="s">
        <v>1077</v>
      </c>
      <c r="F408">
        <v>73</v>
      </c>
      <c r="G408">
        <v>75</v>
      </c>
      <c r="J408" t="s">
        <v>1149</v>
      </c>
      <c r="K408">
        <v>43.295866500000002</v>
      </c>
      <c r="L408">
        <v>13.424968399999999</v>
      </c>
      <c r="M408" t="s">
        <v>1150</v>
      </c>
      <c r="N408" t="str">
        <f>TRIM(MID(M408,FIND(",",M408,FIND(",",M408)+1)+1,FIND(",",M408,FIND(",",M408,FIND(",",M408)+1)+1)-FIND(",",M408,FIND(",",M408)+1)-1))</f>
        <v>Macerata</v>
      </c>
    </row>
    <row r="409" spans="1:14" x14ac:dyDescent="0.3">
      <c r="A409">
        <v>408</v>
      </c>
      <c r="B409">
        <v>27</v>
      </c>
      <c r="D409" t="s">
        <v>1151</v>
      </c>
      <c r="E409" t="s">
        <v>1151</v>
      </c>
      <c r="F409" t="s">
        <v>22</v>
      </c>
      <c r="G409" t="s">
        <v>22</v>
      </c>
      <c r="J409" t="s">
        <v>1152</v>
      </c>
      <c r="K409">
        <v>43.298443900000002</v>
      </c>
      <c r="L409">
        <v>13.425830299999999</v>
      </c>
      <c r="M409" t="s">
        <v>1153</v>
      </c>
      <c r="N409" t="str">
        <f>TRIM(MID(M409,FIND(",",M409,FIND(",",M409)+1)+1,FIND(",",M409,FIND(",",M409,FIND(",",M409)+1)+1)-FIND(",",M409,FIND(",",M409)+1)-1))</f>
        <v>Macerata</v>
      </c>
    </row>
    <row r="410" spans="1:14" x14ac:dyDescent="0.3">
      <c r="A410">
        <v>409</v>
      </c>
      <c r="B410">
        <v>27</v>
      </c>
      <c r="D410" t="s">
        <v>1154</v>
      </c>
      <c r="E410" t="s">
        <v>1124</v>
      </c>
      <c r="F410">
        <v>10</v>
      </c>
      <c r="G410">
        <v>36</v>
      </c>
      <c r="J410" t="s">
        <v>1155</v>
      </c>
      <c r="K410">
        <v>43.2988809</v>
      </c>
      <c r="L410">
        <v>13.428827</v>
      </c>
      <c r="M410" t="s">
        <v>1156</v>
      </c>
      <c r="N410" t="str">
        <f>TRIM(MID(M410,FIND(",",M410,FIND(",",M410)+1)+1,FIND(",",M410,FIND(",",M410,FIND(",",M410)+1)+1)-FIND(",",M410,FIND(",",M410)+1)-1))</f>
        <v>Macerata</v>
      </c>
    </row>
    <row r="411" spans="1:14" x14ac:dyDescent="0.3">
      <c r="A411">
        <v>410</v>
      </c>
      <c r="B411">
        <v>27</v>
      </c>
      <c r="D411" t="s">
        <v>1157</v>
      </c>
      <c r="E411" t="s">
        <v>1158</v>
      </c>
      <c r="F411">
        <v>47</v>
      </c>
      <c r="G411">
        <v>63</v>
      </c>
      <c r="J411" t="s">
        <v>1159</v>
      </c>
      <c r="K411">
        <v>43.297113699999997</v>
      </c>
      <c r="L411">
        <v>13.426502899999999</v>
      </c>
      <c r="M411" t="s">
        <v>1160</v>
      </c>
      <c r="N411" t="str">
        <f>TRIM(MID(M411,FIND(",",M411,FIND(",",M411)+1)+1,FIND(",",M411,FIND(",",M411,FIND(",",M411)+1)+1)-FIND(",",M411,FIND(",",M411)+1)-1))</f>
        <v>Macerata</v>
      </c>
    </row>
    <row r="412" spans="1:14" x14ac:dyDescent="0.3">
      <c r="A412">
        <v>411</v>
      </c>
      <c r="B412">
        <v>27</v>
      </c>
      <c r="D412" t="s">
        <v>1161</v>
      </c>
      <c r="E412" t="s">
        <v>1133</v>
      </c>
      <c r="F412">
        <v>6</v>
      </c>
      <c r="G412">
        <v>10</v>
      </c>
      <c r="J412" t="s">
        <v>1162</v>
      </c>
      <c r="K412">
        <v>43.298372800000003</v>
      </c>
      <c r="L412">
        <v>13.4243294</v>
      </c>
      <c r="M412" t="s">
        <v>1135</v>
      </c>
      <c r="N412" t="str">
        <f>TRIM(MID(M412,FIND(",",M412,FIND(",",M412)+1)+1,FIND(",",M412,FIND(",",M412,FIND(",",M412)+1)+1)-FIND(",",M412,FIND(",",M412)+1)-1))</f>
        <v>Macerata</v>
      </c>
    </row>
    <row r="413" spans="1:14" x14ac:dyDescent="0.3">
      <c r="A413">
        <v>412</v>
      </c>
      <c r="B413">
        <v>27</v>
      </c>
      <c r="D413" t="s">
        <v>1163</v>
      </c>
      <c r="E413" t="s">
        <v>1163</v>
      </c>
      <c r="F413" t="s">
        <v>22</v>
      </c>
      <c r="G413" t="s">
        <v>22</v>
      </c>
      <c r="J413" t="s">
        <v>1164</v>
      </c>
      <c r="K413">
        <v>43.298116399999998</v>
      </c>
      <c r="L413">
        <v>13.42667</v>
      </c>
      <c r="M413" t="s">
        <v>1165</v>
      </c>
      <c r="N413" t="str">
        <f>TRIM(MID(M413,FIND(",",M413,FIND(",",M413)+1)+1,FIND(",",M413,FIND(",",M413,FIND(",",M413)+1)+1)-FIND(",",M413,FIND(",",M413)+1)-1))</f>
        <v>Macerata</v>
      </c>
    </row>
    <row r="414" spans="1:14" x14ac:dyDescent="0.3">
      <c r="A414">
        <v>413</v>
      </c>
      <c r="B414">
        <v>27</v>
      </c>
      <c r="D414" t="s">
        <v>1166</v>
      </c>
      <c r="E414" t="s">
        <v>1137</v>
      </c>
      <c r="F414">
        <v>1</v>
      </c>
      <c r="G414">
        <v>103</v>
      </c>
      <c r="J414" t="s">
        <v>1167</v>
      </c>
      <c r="N414" t="e">
        <f>TRIM(MID(M414,FIND(",",M414,FIND(",",M414)+1)+1,FIND(",",M414,FIND(",",M414,FIND(",",M414)+1)+1)-FIND(",",M414,FIND(",",M414)+1)-1))</f>
        <v>#VALUE!</v>
      </c>
    </row>
    <row r="415" spans="1:14" x14ac:dyDescent="0.3">
      <c r="A415">
        <v>414</v>
      </c>
      <c r="B415">
        <v>27</v>
      </c>
      <c r="D415" t="s">
        <v>1166</v>
      </c>
      <c r="E415" t="s">
        <v>1137</v>
      </c>
      <c r="F415">
        <v>10</v>
      </c>
      <c r="G415">
        <v>114</v>
      </c>
      <c r="J415" t="s">
        <v>1168</v>
      </c>
      <c r="N415" t="e">
        <f>TRIM(MID(M415,FIND(",",M415,FIND(",",M415)+1)+1,FIND(",",M415,FIND(",",M415,FIND(",",M415)+1)+1)-FIND(",",M415,FIND(",",M415)+1)-1))</f>
        <v>#VALUE!</v>
      </c>
    </row>
    <row r="416" spans="1:14" x14ac:dyDescent="0.3">
      <c r="A416">
        <v>415</v>
      </c>
      <c r="B416">
        <v>27</v>
      </c>
      <c r="D416" t="s">
        <v>1169</v>
      </c>
      <c r="E416" t="s">
        <v>1169</v>
      </c>
      <c r="F416" t="s">
        <v>22</v>
      </c>
      <c r="G416" t="s">
        <v>22</v>
      </c>
      <c r="J416" t="s">
        <v>1170</v>
      </c>
      <c r="K416">
        <v>43.299657699999997</v>
      </c>
      <c r="L416">
        <v>13.426976399999999</v>
      </c>
      <c r="M416" t="s">
        <v>1171</v>
      </c>
      <c r="N416" t="str">
        <f>TRIM(MID(M416,FIND(",",M416,FIND(",",M416)+1)+1,FIND(",",M416,FIND(",",M416,FIND(",",M416)+1)+1)-FIND(",",M416,FIND(",",M416)+1)-1))</f>
        <v>Macerata</v>
      </c>
    </row>
    <row r="417" spans="1:14" x14ac:dyDescent="0.3">
      <c r="A417">
        <v>416</v>
      </c>
      <c r="B417">
        <v>27</v>
      </c>
      <c r="D417" t="s">
        <v>1172</v>
      </c>
      <c r="E417" t="s">
        <v>1077</v>
      </c>
      <c r="F417">
        <v>77</v>
      </c>
      <c r="G417">
        <v>85</v>
      </c>
      <c r="J417" t="s">
        <v>1173</v>
      </c>
      <c r="K417">
        <v>43.298235099999999</v>
      </c>
      <c r="L417">
        <v>13.431816400000001</v>
      </c>
      <c r="M417" t="s">
        <v>1079</v>
      </c>
      <c r="N417" t="str">
        <f>TRIM(MID(M417,FIND(",",M417,FIND(",",M417)+1)+1,FIND(",",M417,FIND(",",M417,FIND(",",M417)+1)+1)-FIND(",",M417,FIND(",",M417)+1)-1))</f>
        <v>Santa Croce</v>
      </c>
    </row>
    <row r="418" spans="1:14" x14ac:dyDescent="0.3">
      <c r="A418">
        <v>417</v>
      </c>
      <c r="B418">
        <v>28</v>
      </c>
      <c r="D418" t="s">
        <v>1174</v>
      </c>
      <c r="E418" t="s">
        <v>1174</v>
      </c>
      <c r="F418" t="s">
        <v>22</v>
      </c>
      <c r="G418" t="s">
        <v>22</v>
      </c>
      <c r="J418" t="s">
        <v>1175</v>
      </c>
      <c r="K418">
        <v>43.282587100000001</v>
      </c>
      <c r="L418">
        <v>13.411038100000001</v>
      </c>
      <c r="M418" t="s">
        <v>1176</v>
      </c>
      <c r="N418" t="str">
        <f>TRIM(MID(M418,FIND(",",M418,FIND(",",M418)+1)+1,FIND(",",M418,FIND(",",M418,FIND(",",M418)+1)+1)-FIND(",",M418,FIND(",",M418)+1)-1))</f>
        <v>Macerata</v>
      </c>
    </row>
    <row r="419" spans="1:14" x14ac:dyDescent="0.3">
      <c r="A419">
        <v>418</v>
      </c>
      <c r="B419">
        <v>28</v>
      </c>
      <c r="D419" t="s">
        <v>1177</v>
      </c>
      <c r="E419" t="s">
        <v>1120</v>
      </c>
      <c r="F419">
        <v>29</v>
      </c>
      <c r="G419">
        <v>69</v>
      </c>
      <c r="J419" t="s">
        <v>1178</v>
      </c>
      <c r="N419" t="e">
        <f>TRIM(MID(M419,FIND(",",M419,FIND(",",M419)+1)+1,FIND(",",M419,FIND(",",M419,FIND(",",M419)+1)+1)-FIND(",",M419,FIND(",",M419)+1)-1))</f>
        <v>#VALUE!</v>
      </c>
    </row>
    <row r="420" spans="1:14" x14ac:dyDescent="0.3">
      <c r="A420">
        <v>419</v>
      </c>
      <c r="B420">
        <v>28</v>
      </c>
      <c r="D420" t="s">
        <v>1177</v>
      </c>
      <c r="E420" t="s">
        <v>1120</v>
      </c>
      <c r="F420">
        <v>28</v>
      </c>
      <c r="G420">
        <v>46</v>
      </c>
      <c r="J420" t="s">
        <v>1179</v>
      </c>
      <c r="N420" t="e">
        <f>TRIM(MID(M420,FIND(",",M420,FIND(",",M420)+1)+1,FIND(",",M420,FIND(",",M420,FIND(",",M420)+1)+1)-FIND(",",M420,FIND(",",M420)+1)-1))</f>
        <v>#VALUE!</v>
      </c>
    </row>
    <row r="421" spans="1:14" x14ac:dyDescent="0.3">
      <c r="A421">
        <v>420</v>
      </c>
      <c r="B421">
        <v>28</v>
      </c>
      <c r="D421" t="s">
        <v>1180</v>
      </c>
      <c r="E421" t="s">
        <v>1180</v>
      </c>
      <c r="F421" t="s">
        <v>22</v>
      </c>
      <c r="G421" t="s">
        <v>22</v>
      </c>
      <c r="J421" t="s">
        <v>1181</v>
      </c>
      <c r="K421">
        <v>43.293957399999996</v>
      </c>
      <c r="L421">
        <v>13.387934899999999</v>
      </c>
      <c r="M421" t="s">
        <v>1182</v>
      </c>
      <c r="N421" t="e">
        <f>TRIM(MID(M421,FIND(",",M421,FIND(",",M421)+1)+1,FIND(",",M421,FIND(",",M421,FIND(",",M421)+1)+1)-FIND(",",M421,FIND(",",M421)+1)-1))</f>
        <v>#VALUE!</v>
      </c>
    </row>
    <row r="422" spans="1:14" x14ac:dyDescent="0.3">
      <c r="A422">
        <v>421</v>
      </c>
      <c r="B422">
        <v>28</v>
      </c>
      <c r="D422" t="s">
        <v>1183</v>
      </c>
      <c r="E422" t="s">
        <v>1158</v>
      </c>
      <c r="F422">
        <v>1</v>
      </c>
      <c r="G422">
        <v>37</v>
      </c>
      <c r="J422" t="s">
        <v>1184</v>
      </c>
      <c r="K422">
        <v>43.297113699999997</v>
      </c>
      <c r="L422">
        <v>13.426502899999999</v>
      </c>
      <c r="M422" t="s">
        <v>1160</v>
      </c>
      <c r="N422" t="str">
        <f>TRIM(MID(M422,FIND(",",M422,FIND(",",M422)+1)+1,FIND(",",M422,FIND(",",M422,FIND(",",M422)+1)+1)-FIND(",",M422,FIND(",",M422)+1)-1))</f>
        <v>Macerata</v>
      </c>
    </row>
    <row r="423" spans="1:14" x14ac:dyDescent="0.3">
      <c r="A423">
        <v>422</v>
      </c>
      <c r="B423">
        <v>28</v>
      </c>
      <c r="D423" t="s">
        <v>1185</v>
      </c>
      <c r="E423" t="s">
        <v>1185</v>
      </c>
      <c r="F423" t="s">
        <v>22</v>
      </c>
      <c r="G423" t="s">
        <v>22</v>
      </c>
      <c r="J423" t="s">
        <v>1186</v>
      </c>
      <c r="K423">
        <v>43.296848799999999</v>
      </c>
      <c r="L423">
        <v>13.4306933</v>
      </c>
      <c r="M423" t="s">
        <v>1187</v>
      </c>
      <c r="N423" t="str">
        <f>TRIM(MID(M423,FIND(",",M423,FIND(",",M423)+1)+1,FIND(",",M423,FIND(",",M423,FIND(",",M423)+1)+1)-FIND(",",M423,FIND(",",M423)+1)-1))</f>
        <v>Macerata</v>
      </c>
    </row>
    <row r="424" spans="1:14" x14ac:dyDescent="0.3">
      <c r="A424">
        <v>423</v>
      </c>
      <c r="B424">
        <v>28</v>
      </c>
      <c r="D424" t="s">
        <v>1188</v>
      </c>
      <c r="E424" t="s">
        <v>1188</v>
      </c>
      <c r="F424" t="s">
        <v>22</v>
      </c>
      <c r="G424" t="s">
        <v>22</v>
      </c>
      <c r="J424" t="s">
        <v>1189</v>
      </c>
      <c r="K424">
        <v>43.289245200000003</v>
      </c>
      <c r="L424">
        <v>13.4117374</v>
      </c>
      <c r="M424" t="s">
        <v>1190</v>
      </c>
      <c r="N424" t="str">
        <f>TRIM(MID(M424,FIND(",",M424,FIND(",",M424)+1)+1,FIND(",",M424,FIND(",",M424,FIND(",",M424)+1)+1)-FIND(",",M424,FIND(",",M424)+1)-1))</f>
        <v>Macerata</v>
      </c>
    </row>
    <row r="425" spans="1:14" x14ac:dyDescent="0.3">
      <c r="A425">
        <v>424</v>
      </c>
      <c r="B425">
        <v>28</v>
      </c>
      <c r="D425" t="s">
        <v>1191</v>
      </c>
      <c r="E425" t="s">
        <v>1077</v>
      </c>
      <c r="F425">
        <v>97</v>
      </c>
      <c r="G425">
        <v>141</v>
      </c>
      <c r="J425" t="s">
        <v>1192</v>
      </c>
      <c r="K425">
        <v>43.298235099999999</v>
      </c>
      <c r="L425">
        <v>13.431816400000001</v>
      </c>
      <c r="M425" t="s">
        <v>1079</v>
      </c>
      <c r="N425" t="str">
        <f>TRIM(MID(M425,FIND(",",M425,FIND(",",M425)+1)+1,FIND(",",M425,FIND(",",M425,FIND(",",M425)+1)+1)-FIND(",",M425,FIND(",",M425)+1)-1))</f>
        <v>Santa Croce</v>
      </c>
    </row>
    <row r="426" spans="1:14" x14ac:dyDescent="0.3">
      <c r="A426">
        <v>425</v>
      </c>
      <c r="B426">
        <v>28</v>
      </c>
      <c r="D426" t="s">
        <v>1191</v>
      </c>
      <c r="E426" t="s">
        <v>1077</v>
      </c>
      <c r="F426">
        <v>22</v>
      </c>
      <c r="G426">
        <v>168</v>
      </c>
      <c r="J426" t="s">
        <v>1193</v>
      </c>
      <c r="K426">
        <v>43.292840300000002</v>
      </c>
      <c r="L426">
        <v>13.419464700000001</v>
      </c>
      <c r="M426" t="s">
        <v>1150</v>
      </c>
      <c r="N426" t="str">
        <f>TRIM(MID(M426,FIND(",",M426,FIND(",",M426)+1)+1,FIND(",",M426,FIND(",",M426,FIND(",",M426)+1)+1)-FIND(",",M426,FIND(",",M426)+1)-1))</f>
        <v>Macerata</v>
      </c>
    </row>
    <row r="427" spans="1:14" x14ac:dyDescent="0.3">
      <c r="A427">
        <v>426</v>
      </c>
      <c r="B427">
        <v>29</v>
      </c>
      <c r="D427" t="s">
        <v>1194</v>
      </c>
      <c r="E427" t="s">
        <v>1194</v>
      </c>
      <c r="F427" t="s">
        <v>22</v>
      </c>
      <c r="G427" t="s">
        <v>22</v>
      </c>
      <c r="J427" t="s">
        <v>1195</v>
      </c>
      <c r="K427">
        <v>43.298561399999997</v>
      </c>
      <c r="L427">
        <v>13.43641</v>
      </c>
      <c r="M427" t="s">
        <v>1196</v>
      </c>
      <c r="N427" t="str">
        <f>TRIM(MID(M427,FIND(",",M427,FIND(",",M427)+1)+1,FIND(",",M427,FIND(",",M427,FIND(",",M427)+1)+1)-FIND(",",M427,FIND(",",M427)+1)-1))</f>
        <v>Santa Croce</v>
      </c>
    </row>
    <row r="428" spans="1:14" x14ac:dyDescent="0.3">
      <c r="A428">
        <v>427</v>
      </c>
      <c r="B428">
        <v>29</v>
      </c>
      <c r="D428" t="s">
        <v>1197</v>
      </c>
      <c r="E428" t="s">
        <v>1043</v>
      </c>
      <c r="F428">
        <v>1</v>
      </c>
      <c r="G428">
        <v>1</v>
      </c>
      <c r="J428" t="s">
        <v>1198</v>
      </c>
      <c r="K428">
        <v>43.299129000000001</v>
      </c>
      <c r="L428">
        <v>13.436277199999999</v>
      </c>
      <c r="M428" t="s">
        <v>1045</v>
      </c>
      <c r="N428" t="str">
        <f>TRIM(MID(M428,FIND(",",M428,FIND(",",M428)+1)+1,FIND(",",M428,FIND(",",M428,FIND(",",M428)+1)+1)-FIND(",",M428,FIND(",",M428)+1)-1))</f>
        <v>Santa Croce</v>
      </c>
    </row>
    <row r="429" spans="1:14" x14ac:dyDescent="0.3">
      <c r="A429">
        <v>428</v>
      </c>
      <c r="B429">
        <v>29</v>
      </c>
      <c r="D429" t="s">
        <v>1197</v>
      </c>
      <c r="E429" t="s">
        <v>1043</v>
      </c>
      <c r="F429">
        <v>2</v>
      </c>
      <c r="G429">
        <v>2</v>
      </c>
      <c r="J429" t="s">
        <v>1199</v>
      </c>
      <c r="K429">
        <v>43.299129000000001</v>
      </c>
      <c r="L429">
        <v>13.436277199999999</v>
      </c>
      <c r="M429" t="s">
        <v>1045</v>
      </c>
      <c r="N429" t="str">
        <f>TRIM(MID(M429,FIND(",",M429,FIND(",",M429)+1)+1,FIND(",",M429,FIND(",",M429,FIND(",",M429)+1)+1)-FIND(",",M429,FIND(",",M429)+1)-1))</f>
        <v>Santa Croce</v>
      </c>
    </row>
    <row r="430" spans="1:14" x14ac:dyDescent="0.3">
      <c r="A430">
        <v>429</v>
      </c>
      <c r="B430">
        <v>29</v>
      </c>
      <c r="D430" t="s">
        <v>1200</v>
      </c>
      <c r="E430" t="s">
        <v>1051</v>
      </c>
      <c r="F430">
        <v>5</v>
      </c>
      <c r="G430">
        <v>13</v>
      </c>
      <c r="J430" t="s">
        <v>1201</v>
      </c>
      <c r="K430">
        <v>43.299385399999998</v>
      </c>
      <c r="L430">
        <v>13.4374038</v>
      </c>
      <c r="M430" t="s">
        <v>1053</v>
      </c>
      <c r="N430" t="str">
        <f>TRIM(MID(M430,FIND(",",M430,FIND(",",M430)+1)+1,FIND(",",M430,FIND(",",M430,FIND(",",M430)+1)+1)-FIND(",",M430,FIND(",",M430)+1)-1))</f>
        <v>Santa Croce</v>
      </c>
    </row>
    <row r="431" spans="1:14" x14ac:dyDescent="0.3">
      <c r="A431">
        <v>430</v>
      </c>
      <c r="B431">
        <v>29</v>
      </c>
      <c r="D431" t="s">
        <v>1202</v>
      </c>
      <c r="E431" t="s">
        <v>1059</v>
      </c>
      <c r="F431">
        <v>81</v>
      </c>
      <c r="G431">
        <v>127</v>
      </c>
      <c r="J431" t="s">
        <v>1203</v>
      </c>
      <c r="K431">
        <v>43.2967753</v>
      </c>
      <c r="L431">
        <v>13.4373842</v>
      </c>
      <c r="M431" t="s">
        <v>1063</v>
      </c>
      <c r="N431" t="str">
        <f>TRIM(MID(M431,FIND(",",M431,FIND(",",M431)+1)+1,FIND(",",M431,FIND(",",M431,FIND(",",M431)+1)+1)-FIND(",",M431,FIND(",",M431)+1)-1))</f>
        <v>Santa Croce</v>
      </c>
    </row>
    <row r="432" spans="1:14" x14ac:dyDescent="0.3">
      <c r="A432">
        <v>431</v>
      </c>
      <c r="B432">
        <v>29</v>
      </c>
      <c r="D432" t="s">
        <v>1204</v>
      </c>
      <c r="E432" t="s">
        <v>1204</v>
      </c>
      <c r="F432" t="s">
        <v>22</v>
      </c>
      <c r="G432" t="s">
        <v>22</v>
      </c>
      <c r="J432" t="s">
        <v>1205</v>
      </c>
      <c r="K432">
        <v>43.296188399999998</v>
      </c>
      <c r="L432">
        <v>13.4352178</v>
      </c>
      <c r="M432" t="s">
        <v>1206</v>
      </c>
      <c r="N432" t="str">
        <f>TRIM(MID(M432,FIND(",",M432,FIND(",",M432)+1)+1,FIND(",",M432,FIND(",",M432,FIND(",",M432)+1)+1)-FIND(",",M432,FIND(",",M432)+1)-1))</f>
        <v>Macerata</v>
      </c>
    </row>
    <row r="433" spans="1:14" x14ac:dyDescent="0.3">
      <c r="A433">
        <v>432</v>
      </c>
      <c r="B433">
        <v>29</v>
      </c>
      <c r="D433" t="s">
        <v>1207</v>
      </c>
      <c r="E433" t="s">
        <v>1208</v>
      </c>
      <c r="F433">
        <v>3</v>
      </c>
      <c r="G433">
        <v>147</v>
      </c>
      <c r="J433" t="s">
        <v>1209</v>
      </c>
      <c r="K433">
        <v>43.298064400000001</v>
      </c>
      <c r="L433">
        <v>13.4366045</v>
      </c>
      <c r="M433" t="s">
        <v>1210</v>
      </c>
      <c r="N433" t="str">
        <f>TRIM(MID(M433,FIND(",",M433,FIND(",",M433)+1)+1,FIND(",",M433,FIND(",",M433,FIND(",",M433)+1)+1)-FIND(",",M433,FIND(",",M433)+1)-1))</f>
        <v>Santa Croce</v>
      </c>
    </row>
    <row r="434" spans="1:14" x14ac:dyDescent="0.3">
      <c r="A434">
        <v>433</v>
      </c>
      <c r="B434">
        <v>29</v>
      </c>
      <c r="D434" t="s">
        <v>1207</v>
      </c>
      <c r="E434" t="s">
        <v>1208</v>
      </c>
      <c r="F434">
        <v>2</v>
      </c>
      <c r="G434">
        <v>84</v>
      </c>
      <c r="J434" t="s">
        <v>1211</v>
      </c>
      <c r="K434">
        <v>43.298064400000001</v>
      </c>
      <c r="L434">
        <v>13.4366045</v>
      </c>
      <c r="M434" t="s">
        <v>1210</v>
      </c>
      <c r="N434" t="str">
        <f>TRIM(MID(M434,FIND(",",M434,FIND(",",M434)+1)+1,FIND(",",M434,FIND(",",M434,FIND(",",M434)+1)+1)-FIND(",",M434,FIND(",",M434)+1)-1))</f>
        <v>Santa Croce</v>
      </c>
    </row>
    <row r="435" spans="1:14" x14ac:dyDescent="0.3">
      <c r="A435">
        <v>434</v>
      </c>
      <c r="B435">
        <v>29</v>
      </c>
      <c r="D435" t="s">
        <v>1212</v>
      </c>
      <c r="E435" t="s">
        <v>1212</v>
      </c>
      <c r="F435" t="s">
        <v>22</v>
      </c>
      <c r="G435" t="s">
        <v>22</v>
      </c>
      <c r="J435" t="s">
        <v>1213</v>
      </c>
      <c r="K435">
        <v>43.297099199999998</v>
      </c>
      <c r="L435">
        <v>13.435904900000001</v>
      </c>
      <c r="M435" t="s">
        <v>1214</v>
      </c>
      <c r="N435" t="str">
        <f>TRIM(MID(M435,FIND(",",M435,FIND(",",M435)+1)+1,FIND(",",M435,FIND(",",M435,FIND(",",M435)+1)+1)-FIND(",",M435,FIND(",",M435)+1)-1))</f>
        <v>Macerata</v>
      </c>
    </row>
    <row r="436" spans="1:14" x14ac:dyDescent="0.3">
      <c r="A436">
        <v>435</v>
      </c>
      <c r="B436">
        <v>29</v>
      </c>
      <c r="D436" t="s">
        <v>1215</v>
      </c>
      <c r="E436" t="s">
        <v>1216</v>
      </c>
      <c r="F436">
        <v>1</v>
      </c>
      <c r="G436">
        <v>47</v>
      </c>
      <c r="J436" t="s">
        <v>1217</v>
      </c>
      <c r="K436">
        <v>43.295578599999999</v>
      </c>
      <c r="L436">
        <v>13.433898900000001</v>
      </c>
      <c r="M436" t="s">
        <v>1218</v>
      </c>
      <c r="N436" t="str">
        <f>TRIM(MID(M436,FIND(",",M436,FIND(",",M436)+1)+1,FIND(",",M436,FIND(",",M436,FIND(",",M436)+1)+1)-FIND(",",M436,FIND(",",M436)+1)-1))</f>
        <v>Macerata</v>
      </c>
    </row>
    <row r="437" spans="1:14" x14ac:dyDescent="0.3">
      <c r="A437">
        <v>436</v>
      </c>
      <c r="B437">
        <v>29</v>
      </c>
      <c r="D437" t="s">
        <v>1219</v>
      </c>
      <c r="E437" t="s">
        <v>1072</v>
      </c>
      <c r="F437">
        <v>31</v>
      </c>
      <c r="G437">
        <v>47</v>
      </c>
      <c r="J437" t="s">
        <v>1220</v>
      </c>
      <c r="K437">
        <v>43.296340899999997</v>
      </c>
      <c r="L437">
        <v>13.4364194</v>
      </c>
      <c r="M437" t="s">
        <v>1074</v>
      </c>
      <c r="N437" t="str">
        <f>TRIM(MID(M437,FIND(",",M437,FIND(",",M437)+1)+1,FIND(",",M437,FIND(",",M437,FIND(",",M437)+1)+1)-FIND(",",M437,FIND(",",M437)+1)-1))</f>
        <v>Macerata</v>
      </c>
    </row>
    <row r="438" spans="1:14" x14ac:dyDescent="0.3">
      <c r="A438">
        <v>437</v>
      </c>
      <c r="B438">
        <v>29</v>
      </c>
      <c r="D438" t="s">
        <v>1219</v>
      </c>
      <c r="E438" t="s">
        <v>1072</v>
      </c>
      <c r="F438">
        <v>50</v>
      </c>
      <c r="G438">
        <v>90</v>
      </c>
      <c r="J438" t="s">
        <v>1221</v>
      </c>
      <c r="K438">
        <v>43.296340899999997</v>
      </c>
      <c r="L438">
        <v>13.4364194</v>
      </c>
      <c r="M438" t="s">
        <v>1074</v>
      </c>
      <c r="N438" t="str">
        <f>TRIM(MID(M438,FIND(",",M438,FIND(",",M438)+1)+1,FIND(",",M438,FIND(",",M438,FIND(",",M438)+1)+1)-FIND(",",M438,FIND(",",M438)+1)-1))</f>
        <v>Macerata</v>
      </c>
    </row>
    <row r="439" spans="1:14" x14ac:dyDescent="0.3">
      <c r="A439">
        <v>438</v>
      </c>
      <c r="B439">
        <v>29</v>
      </c>
      <c r="D439" t="s">
        <v>1222</v>
      </c>
      <c r="E439" t="s">
        <v>1077</v>
      </c>
      <c r="F439">
        <v>2</v>
      </c>
      <c r="G439">
        <v>10</v>
      </c>
      <c r="J439" t="s">
        <v>1223</v>
      </c>
      <c r="K439">
        <v>43.292840300000002</v>
      </c>
      <c r="L439">
        <v>13.419464700000001</v>
      </c>
      <c r="M439" t="s">
        <v>1150</v>
      </c>
      <c r="N439" t="str">
        <f>TRIM(MID(M439,FIND(",",M439,FIND(",",M439)+1)+1,FIND(",",M439,FIND(",",M439,FIND(",",M439)+1)+1)-FIND(",",M439,FIND(",",M439)+1)-1))</f>
        <v>Macerata</v>
      </c>
    </row>
    <row r="440" spans="1:14" x14ac:dyDescent="0.3">
      <c r="A440">
        <v>439</v>
      </c>
      <c r="B440">
        <v>29</v>
      </c>
      <c r="D440" t="s">
        <v>1224</v>
      </c>
      <c r="E440" t="s">
        <v>1081</v>
      </c>
      <c r="F440">
        <v>40</v>
      </c>
      <c r="G440">
        <v>40</v>
      </c>
      <c r="J440" t="s">
        <v>1225</v>
      </c>
      <c r="K440">
        <v>43.301076199999997</v>
      </c>
      <c r="L440">
        <v>13.4401086</v>
      </c>
      <c r="M440" t="s">
        <v>1226</v>
      </c>
      <c r="N440" t="str">
        <f>TRIM(MID(M440,FIND(",",M440,FIND(",",M440)+1)+1,FIND(",",M440,FIND(",",M440,FIND(",",M440)+1)+1)-FIND(",",M440,FIND(",",M440)+1)-1))</f>
        <v>Santa Croce</v>
      </c>
    </row>
    <row r="441" spans="1:14" x14ac:dyDescent="0.3">
      <c r="A441">
        <v>440</v>
      </c>
      <c r="B441">
        <v>30</v>
      </c>
      <c r="D441" t="s">
        <v>1227</v>
      </c>
      <c r="E441" t="s">
        <v>1228</v>
      </c>
      <c r="F441">
        <v>1</v>
      </c>
      <c r="G441">
        <v>43</v>
      </c>
      <c r="J441" t="s">
        <v>1229</v>
      </c>
      <c r="K441">
        <v>43.294182800000002</v>
      </c>
      <c r="L441">
        <v>13.435522499999999</v>
      </c>
      <c r="M441" t="s">
        <v>1230</v>
      </c>
      <c r="N441" t="str">
        <f>TRIM(MID(M441,FIND(",",M441,FIND(",",M441)+1)+1,FIND(",",M441,FIND(",",M441,FIND(",",M441)+1)+1)-FIND(",",M441,FIND(",",M441)+1)-1))</f>
        <v>Macerata</v>
      </c>
    </row>
    <row r="442" spans="1:14" x14ac:dyDescent="0.3">
      <c r="A442">
        <v>441</v>
      </c>
      <c r="B442">
        <v>30</v>
      </c>
      <c r="D442" t="s">
        <v>1231</v>
      </c>
      <c r="E442" t="s">
        <v>1232</v>
      </c>
      <c r="F442">
        <v>2</v>
      </c>
      <c r="G442">
        <v>14</v>
      </c>
      <c r="J442" t="s">
        <v>1233</v>
      </c>
      <c r="K442">
        <v>43.292959600000003</v>
      </c>
      <c r="L442">
        <v>13.4316367</v>
      </c>
      <c r="M442" t="s">
        <v>1234</v>
      </c>
      <c r="N442" t="str">
        <f>TRIM(MID(M442,FIND(",",M442,FIND(",",M442)+1)+1,FIND(",",M442,FIND(",",M442,FIND(",",M442)+1)+1)-FIND(",",M442,FIND(",",M442)+1)-1))</f>
        <v>Macerata</v>
      </c>
    </row>
    <row r="443" spans="1:14" x14ac:dyDescent="0.3">
      <c r="A443">
        <v>442</v>
      </c>
      <c r="B443">
        <v>30</v>
      </c>
      <c r="D443" t="s">
        <v>1235</v>
      </c>
      <c r="E443" t="s">
        <v>1235</v>
      </c>
      <c r="F443" t="s">
        <v>22</v>
      </c>
      <c r="G443" t="s">
        <v>22</v>
      </c>
      <c r="J443" t="s">
        <v>1236</v>
      </c>
      <c r="K443">
        <v>43.2927812</v>
      </c>
      <c r="L443">
        <v>13.434461499999999</v>
      </c>
      <c r="M443" t="s">
        <v>1237</v>
      </c>
      <c r="N443" t="str">
        <f>TRIM(MID(M443,FIND(",",M443,FIND(",",M443)+1)+1,FIND(",",M443,FIND(",",M443,FIND(",",M443)+1)+1)-FIND(",",M443,FIND(",",M443)+1)-1))</f>
        <v>Macerata</v>
      </c>
    </row>
    <row r="444" spans="1:14" x14ac:dyDescent="0.3">
      <c r="A444">
        <v>443</v>
      </c>
      <c r="B444">
        <v>30</v>
      </c>
      <c r="D444" t="s">
        <v>1238</v>
      </c>
      <c r="E444" t="s">
        <v>1239</v>
      </c>
      <c r="F444">
        <v>15</v>
      </c>
      <c r="G444">
        <v>43</v>
      </c>
      <c r="J444" t="s">
        <v>1240</v>
      </c>
      <c r="K444">
        <v>43.294680300000003</v>
      </c>
      <c r="L444">
        <v>13.4336781</v>
      </c>
      <c r="M444" t="s">
        <v>1241</v>
      </c>
      <c r="N444" t="str">
        <f>TRIM(MID(M444,FIND(",",M444,FIND(",",M444)+1)+1,FIND(",",M444,FIND(",",M444,FIND(",",M444)+1)+1)-FIND(",",M444,FIND(",",M444)+1)-1))</f>
        <v>Macerata</v>
      </c>
    </row>
    <row r="445" spans="1:14" x14ac:dyDescent="0.3">
      <c r="A445">
        <v>444</v>
      </c>
      <c r="B445">
        <v>30</v>
      </c>
      <c r="D445" t="s">
        <v>1238</v>
      </c>
      <c r="E445" t="s">
        <v>1239</v>
      </c>
      <c r="F445">
        <v>6</v>
      </c>
      <c r="G445">
        <v>8</v>
      </c>
      <c r="J445" t="s">
        <v>1242</v>
      </c>
      <c r="K445">
        <v>43.294680300000003</v>
      </c>
      <c r="L445">
        <v>13.4336781</v>
      </c>
      <c r="M445" t="s">
        <v>1241</v>
      </c>
      <c r="N445" t="str">
        <f>TRIM(MID(M445,FIND(",",M445,FIND(",",M445)+1)+1,FIND(",",M445,FIND(",",M445,FIND(",",M445)+1)+1)-FIND(",",M445,FIND(",",M445)+1)-1))</f>
        <v>Macerata</v>
      </c>
    </row>
    <row r="446" spans="1:14" x14ac:dyDescent="0.3">
      <c r="A446">
        <v>445</v>
      </c>
      <c r="B446">
        <v>30</v>
      </c>
      <c r="D446" t="s">
        <v>1243</v>
      </c>
      <c r="E446" t="s">
        <v>1208</v>
      </c>
      <c r="F446">
        <v>63</v>
      </c>
      <c r="G446">
        <v>75</v>
      </c>
      <c r="J446" t="s">
        <v>1244</v>
      </c>
      <c r="K446">
        <v>43.295040999999998</v>
      </c>
      <c r="L446">
        <v>13.4358188</v>
      </c>
      <c r="M446" t="s">
        <v>1245</v>
      </c>
      <c r="N446" t="str">
        <f>TRIM(MID(M446,FIND(",",M446,FIND(",",M446)+1)+1,FIND(",",M446,FIND(",",M446,FIND(",",M446)+1)+1)-FIND(",",M446,FIND(",",M446)+1)-1))</f>
        <v>San Francesco</v>
      </c>
    </row>
    <row r="447" spans="1:14" x14ac:dyDescent="0.3">
      <c r="A447">
        <v>446</v>
      </c>
      <c r="B447">
        <v>30</v>
      </c>
      <c r="D447" t="s">
        <v>1246</v>
      </c>
      <c r="E447" t="s">
        <v>1246</v>
      </c>
      <c r="F447" t="s">
        <v>22</v>
      </c>
      <c r="G447" t="s">
        <v>22</v>
      </c>
      <c r="J447" t="s">
        <v>1247</v>
      </c>
      <c r="K447">
        <v>43.293756999999999</v>
      </c>
      <c r="L447">
        <v>13.4339288</v>
      </c>
      <c r="M447" t="s">
        <v>1248</v>
      </c>
      <c r="N447" t="str">
        <f>TRIM(MID(M447,FIND(",",M447,FIND(",",M447)+1)+1,FIND(",",M447,FIND(",",M447,FIND(",",M447)+1)+1)-FIND(",",M447,FIND(",",M447)+1)-1))</f>
        <v>Macerata</v>
      </c>
    </row>
    <row r="448" spans="1:14" x14ac:dyDescent="0.3">
      <c r="A448">
        <v>447</v>
      </c>
      <c r="B448">
        <v>30</v>
      </c>
      <c r="D448" t="s">
        <v>1249</v>
      </c>
      <c r="E448" t="s">
        <v>1216</v>
      </c>
      <c r="F448">
        <v>26</v>
      </c>
      <c r="G448">
        <v>92</v>
      </c>
      <c r="J448" t="s">
        <v>1250</v>
      </c>
      <c r="K448">
        <v>43.295502300000003</v>
      </c>
      <c r="L448">
        <v>13.4348299</v>
      </c>
      <c r="M448" t="s">
        <v>1251</v>
      </c>
      <c r="N448" t="str">
        <f>TRIM(MID(M448,FIND(",",M448,FIND(",",M448)+1)+1,FIND(",",M448,FIND(",",M448,FIND(",",M448)+1)+1)-FIND(",",M448,FIND(",",M448)+1)-1))</f>
        <v>Santa Croce</v>
      </c>
    </row>
    <row r="449" spans="1:14" x14ac:dyDescent="0.3">
      <c r="A449">
        <v>448</v>
      </c>
      <c r="B449">
        <v>31</v>
      </c>
      <c r="D449" t="s">
        <v>1252</v>
      </c>
      <c r="E449" t="s">
        <v>1252</v>
      </c>
      <c r="F449" t="s">
        <v>22</v>
      </c>
      <c r="G449" t="s">
        <v>22</v>
      </c>
      <c r="J449" t="s">
        <v>1253</v>
      </c>
      <c r="K449">
        <v>43.290011800000002</v>
      </c>
      <c r="L449">
        <v>13.433975200000001</v>
      </c>
      <c r="M449" t="s">
        <v>1254</v>
      </c>
      <c r="N449" t="str">
        <f>TRIM(MID(M449,FIND(",",M449,FIND(",",M449)+1)+1,FIND(",",M449,FIND(",",M449,FIND(",",M449)+1)+1)-FIND(",",M449,FIND(",",M449)+1)-1))</f>
        <v>Macerata</v>
      </c>
    </row>
    <row r="450" spans="1:14" x14ac:dyDescent="0.3">
      <c r="A450">
        <v>449</v>
      </c>
      <c r="B450">
        <v>31</v>
      </c>
      <c r="D450" t="s">
        <v>1255</v>
      </c>
      <c r="E450" t="s">
        <v>1255</v>
      </c>
      <c r="F450" t="s">
        <v>22</v>
      </c>
      <c r="G450" t="s">
        <v>22</v>
      </c>
      <c r="J450" t="s">
        <v>1256</v>
      </c>
      <c r="K450">
        <v>43.2903211</v>
      </c>
      <c r="L450">
        <v>13.4308318</v>
      </c>
      <c r="M450" t="s">
        <v>1257</v>
      </c>
      <c r="N450" t="str">
        <f>TRIM(MID(M450,FIND(",",M450,FIND(",",M450)+1)+1,FIND(",",M450,FIND(",",M450,FIND(",",M450)+1)+1)-FIND(",",M450,FIND(",",M450)+1)-1))</f>
        <v>Macerata</v>
      </c>
    </row>
    <row r="451" spans="1:14" x14ac:dyDescent="0.3">
      <c r="A451">
        <v>450</v>
      </c>
      <c r="B451">
        <v>31</v>
      </c>
      <c r="D451" t="s">
        <v>1258</v>
      </c>
      <c r="E451" t="s">
        <v>1258</v>
      </c>
      <c r="F451" t="s">
        <v>22</v>
      </c>
      <c r="G451" t="s">
        <v>22</v>
      </c>
      <c r="J451" t="s">
        <v>1259</v>
      </c>
      <c r="N451" t="e">
        <f>TRIM(MID(M451,FIND(",",M451,FIND(",",M451)+1)+1,FIND(",",M451,FIND(",",M451,FIND(",",M451)+1)+1)-FIND(",",M451,FIND(",",M451)+1)-1))</f>
        <v>#VALUE!</v>
      </c>
    </row>
    <row r="452" spans="1:14" x14ac:dyDescent="0.3">
      <c r="A452">
        <v>451</v>
      </c>
      <c r="B452">
        <v>31</v>
      </c>
      <c r="D452" t="s">
        <v>1260</v>
      </c>
      <c r="E452" t="s">
        <v>1260</v>
      </c>
      <c r="F452" t="s">
        <v>22</v>
      </c>
      <c r="G452" t="s">
        <v>22</v>
      </c>
      <c r="J452" t="s">
        <v>1261</v>
      </c>
      <c r="K452">
        <v>43.290646899999999</v>
      </c>
      <c r="L452">
        <v>13.431552</v>
      </c>
      <c r="M452" t="s">
        <v>1262</v>
      </c>
      <c r="N452" t="str">
        <f>TRIM(MID(M452,FIND(",",M452,FIND(",",M452)+1)+1,FIND(",",M452,FIND(",",M452,FIND(",",M452)+1)+1)-FIND(",",M452,FIND(",",M452)+1)-1))</f>
        <v>Macerata</v>
      </c>
    </row>
    <row r="453" spans="1:14" x14ac:dyDescent="0.3">
      <c r="A453">
        <v>452</v>
      </c>
      <c r="B453">
        <v>31</v>
      </c>
      <c r="D453" t="s">
        <v>1263</v>
      </c>
      <c r="E453" t="s">
        <v>1264</v>
      </c>
      <c r="F453">
        <v>59</v>
      </c>
      <c r="G453">
        <v>85</v>
      </c>
      <c r="J453" t="s">
        <v>1265</v>
      </c>
      <c r="K453">
        <v>43.292551799999998</v>
      </c>
      <c r="L453">
        <v>13.434336399999999</v>
      </c>
      <c r="M453" t="s">
        <v>1266</v>
      </c>
      <c r="N453" t="str">
        <f>TRIM(MID(M453,FIND(",",M453,FIND(",",M453)+1)+1,FIND(",",M453,FIND(",",M453,FIND(",",M453)+1)+1)-FIND(",",M453,FIND(",",M453)+1)-1))</f>
        <v>Macerata</v>
      </c>
    </row>
    <row r="454" spans="1:14" x14ac:dyDescent="0.3">
      <c r="A454">
        <v>453</v>
      </c>
      <c r="B454">
        <v>31</v>
      </c>
      <c r="D454" t="s">
        <v>1263</v>
      </c>
      <c r="E454" t="s">
        <v>1264</v>
      </c>
      <c r="F454">
        <v>64</v>
      </c>
      <c r="G454">
        <v>86</v>
      </c>
      <c r="J454" t="s">
        <v>1267</v>
      </c>
      <c r="K454">
        <v>43.292551799999998</v>
      </c>
      <c r="L454">
        <v>13.434336399999999</v>
      </c>
      <c r="M454" t="s">
        <v>1266</v>
      </c>
      <c r="N454" t="str">
        <f>TRIM(MID(M454,FIND(",",M454,FIND(",",M454)+1)+1,FIND(",",M454,FIND(",",M454,FIND(",",M454)+1)+1)-FIND(",",M454,FIND(",",M454)+1)-1))</f>
        <v>Macerata</v>
      </c>
    </row>
    <row r="455" spans="1:14" x14ac:dyDescent="0.3">
      <c r="A455">
        <v>454</v>
      </c>
      <c r="B455">
        <v>31</v>
      </c>
      <c r="D455" t="s">
        <v>1268</v>
      </c>
      <c r="E455" t="s">
        <v>1232</v>
      </c>
      <c r="F455">
        <v>1</v>
      </c>
      <c r="G455">
        <v>47</v>
      </c>
      <c r="J455" t="s">
        <v>1269</v>
      </c>
      <c r="K455">
        <v>43.293953600000002</v>
      </c>
      <c r="L455">
        <v>13.4322903</v>
      </c>
      <c r="M455" t="s">
        <v>1234</v>
      </c>
      <c r="N455" t="str">
        <f>TRIM(MID(M455,FIND(",",M455,FIND(",",M455)+1)+1,FIND(",",M455,FIND(",",M455,FIND(",",M455)+1)+1)-FIND(",",M455,FIND(",",M455)+1)-1))</f>
        <v>Macerata</v>
      </c>
    </row>
    <row r="456" spans="1:14" x14ac:dyDescent="0.3">
      <c r="A456">
        <v>455</v>
      </c>
      <c r="B456">
        <v>31</v>
      </c>
      <c r="D456" t="s">
        <v>1270</v>
      </c>
      <c r="E456" t="s">
        <v>1270</v>
      </c>
      <c r="F456" t="s">
        <v>22</v>
      </c>
      <c r="G456" t="s">
        <v>22</v>
      </c>
      <c r="J456" t="s">
        <v>1271</v>
      </c>
      <c r="K456">
        <v>43.290064399999999</v>
      </c>
      <c r="L456">
        <v>13.431879</v>
      </c>
      <c r="M456" t="s">
        <v>1272</v>
      </c>
      <c r="N456" t="str">
        <f>TRIM(MID(M456,FIND(",",M456,FIND(",",M456)+1)+1,FIND(",",M456,FIND(",",M456,FIND(",",M456)+1)+1)-FIND(",",M456,FIND(",",M456)+1)-1))</f>
        <v>Macerata</v>
      </c>
    </row>
    <row r="457" spans="1:14" x14ac:dyDescent="0.3">
      <c r="A457">
        <v>456</v>
      </c>
      <c r="B457">
        <v>31</v>
      </c>
      <c r="D457" t="s">
        <v>1273</v>
      </c>
      <c r="E457" t="s">
        <v>1239</v>
      </c>
      <c r="F457">
        <v>14</v>
      </c>
      <c r="G457">
        <v>38</v>
      </c>
      <c r="J457" t="s">
        <v>1274</v>
      </c>
      <c r="K457">
        <v>43.294257199999997</v>
      </c>
      <c r="L457">
        <v>13.431890299999999</v>
      </c>
      <c r="M457" t="s">
        <v>1275</v>
      </c>
      <c r="N457" t="str">
        <f>TRIM(MID(M457,FIND(",",M457,FIND(",",M457)+1)+1,FIND(",",M457,FIND(",",M457,FIND(",",M457)+1)+1)-FIND(",",M457,FIND(",",M457)+1)-1))</f>
        <v>Macerata</v>
      </c>
    </row>
    <row r="458" spans="1:14" x14ac:dyDescent="0.3">
      <c r="A458">
        <v>457</v>
      </c>
      <c r="B458">
        <v>31</v>
      </c>
      <c r="D458" t="s">
        <v>1276</v>
      </c>
      <c r="E458" t="s">
        <v>1277</v>
      </c>
      <c r="F458">
        <v>11</v>
      </c>
      <c r="G458">
        <v>103</v>
      </c>
      <c r="J458" t="s">
        <v>1278</v>
      </c>
      <c r="K458">
        <v>43.291462899999999</v>
      </c>
      <c r="L458">
        <v>13.433059800000001</v>
      </c>
      <c r="M458" t="s">
        <v>1279</v>
      </c>
      <c r="N458" t="str">
        <f>TRIM(MID(M458,FIND(",",M458,FIND(",",M458)+1)+1,FIND(",",M458,FIND(",",M458,FIND(",",M458)+1)+1)-FIND(",",M458,FIND(",",M458)+1)-1))</f>
        <v>Macerata</v>
      </c>
    </row>
    <row r="459" spans="1:14" x14ac:dyDescent="0.3">
      <c r="A459">
        <v>458</v>
      </c>
      <c r="B459">
        <v>32</v>
      </c>
      <c r="D459" t="s">
        <v>1280</v>
      </c>
      <c r="E459" t="s">
        <v>1280</v>
      </c>
      <c r="F459" t="s">
        <v>22</v>
      </c>
      <c r="G459" t="s">
        <v>22</v>
      </c>
      <c r="J459" t="s">
        <v>1281</v>
      </c>
      <c r="N459" t="e">
        <f>TRIM(MID(M459,FIND(",",M459,FIND(",",M459)+1)+1,FIND(",",M459,FIND(",",M459,FIND(",",M459)+1)+1)-FIND(",",M459,FIND(",",M459)+1)-1))</f>
        <v>#VALUE!</v>
      </c>
    </row>
    <row r="460" spans="1:14" x14ac:dyDescent="0.3">
      <c r="A460">
        <v>459</v>
      </c>
      <c r="B460">
        <v>32</v>
      </c>
      <c r="D460" t="s">
        <v>1282</v>
      </c>
      <c r="E460" t="s">
        <v>1264</v>
      </c>
      <c r="F460">
        <v>3</v>
      </c>
      <c r="G460">
        <v>3</v>
      </c>
      <c r="J460" t="s">
        <v>1283</v>
      </c>
      <c r="K460">
        <v>43.292551799999998</v>
      </c>
      <c r="L460">
        <v>13.434336399999999</v>
      </c>
      <c r="M460" t="s">
        <v>1266</v>
      </c>
      <c r="N460" t="str">
        <f>TRIM(MID(M460,FIND(",",M460,FIND(",",M460)+1)+1,FIND(",",M460,FIND(",",M460,FIND(",",M460)+1)+1)-FIND(",",M460,FIND(",",M460)+1)-1))</f>
        <v>Macerata</v>
      </c>
    </row>
    <row r="461" spans="1:14" x14ac:dyDescent="0.3">
      <c r="A461">
        <v>460</v>
      </c>
      <c r="B461">
        <v>32</v>
      </c>
      <c r="D461" t="s">
        <v>1282</v>
      </c>
      <c r="E461" t="s">
        <v>1264</v>
      </c>
      <c r="F461">
        <v>2</v>
      </c>
      <c r="G461">
        <v>50</v>
      </c>
      <c r="J461" t="s">
        <v>1284</v>
      </c>
      <c r="K461">
        <v>43.292551799999998</v>
      </c>
      <c r="L461">
        <v>13.434336399999999</v>
      </c>
      <c r="M461" t="s">
        <v>1266</v>
      </c>
      <c r="N461" t="str">
        <f>TRIM(MID(M461,FIND(",",M461,FIND(",",M461)+1)+1,FIND(",",M461,FIND(",",M461,FIND(",",M461)+1)+1)-FIND(",",M461,FIND(",",M461)+1)-1))</f>
        <v>Macerata</v>
      </c>
    </row>
    <row r="462" spans="1:14" x14ac:dyDescent="0.3">
      <c r="A462">
        <v>461</v>
      </c>
      <c r="B462">
        <v>32</v>
      </c>
      <c r="D462" t="s">
        <v>1285</v>
      </c>
      <c r="E462" t="s">
        <v>1285</v>
      </c>
      <c r="F462" t="s">
        <v>22</v>
      </c>
      <c r="G462" t="s">
        <v>22</v>
      </c>
      <c r="J462" t="s">
        <v>1286</v>
      </c>
      <c r="N462" t="e">
        <f>TRIM(MID(M462,FIND(",",M462,FIND(",",M462)+1)+1,FIND(",",M462,FIND(",",M462,FIND(",",M462)+1)+1)-FIND(",",M462,FIND(",",M462)+1)-1))</f>
        <v>#VALUE!</v>
      </c>
    </row>
    <row r="463" spans="1:14" x14ac:dyDescent="0.3">
      <c r="A463">
        <v>462</v>
      </c>
      <c r="B463">
        <v>32</v>
      </c>
      <c r="D463" t="s">
        <v>1287</v>
      </c>
      <c r="E463" t="s">
        <v>1228</v>
      </c>
      <c r="F463">
        <v>4</v>
      </c>
      <c r="G463">
        <v>42</v>
      </c>
      <c r="J463" t="s">
        <v>1288</v>
      </c>
      <c r="K463">
        <v>43.294182800000002</v>
      </c>
      <c r="L463">
        <v>13.435522499999999</v>
      </c>
      <c r="M463" t="s">
        <v>1230</v>
      </c>
      <c r="N463" t="str">
        <f>TRIM(MID(M463,FIND(",",M463,FIND(",",M463)+1)+1,FIND(",",M463,FIND(",",M463,FIND(",",M463)+1)+1)-FIND(",",M463,FIND(",",M463)+1)-1))</f>
        <v>Macerata</v>
      </c>
    </row>
    <row r="464" spans="1:14" x14ac:dyDescent="0.3">
      <c r="A464">
        <v>463</v>
      </c>
      <c r="B464">
        <v>32</v>
      </c>
      <c r="D464" t="s">
        <v>1289</v>
      </c>
      <c r="E464" t="s">
        <v>1289</v>
      </c>
      <c r="F464" t="s">
        <v>22</v>
      </c>
      <c r="G464" t="s">
        <v>22</v>
      </c>
      <c r="J464" t="s">
        <v>1290</v>
      </c>
      <c r="K464">
        <v>43.289899200000001</v>
      </c>
      <c r="L464">
        <v>13.435279899999999</v>
      </c>
      <c r="M464" t="s">
        <v>1291</v>
      </c>
      <c r="N464" t="str">
        <f>TRIM(MID(M464,FIND(",",M464,FIND(",",M464)+1)+1,FIND(",",M464,FIND(",",M464,FIND(",",M464)+1)+1)-FIND(",",M464,FIND(",",M464)+1)-1))</f>
        <v>Macerata</v>
      </c>
    </row>
    <row r="465" spans="1:14" x14ac:dyDescent="0.3">
      <c r="A465">
        <v>464</v>
      </c>
      <c r="B465">
        <v>32</v>
      </c>
      <c r="D465" t="s">
        <v>1292</v>
      </c>
      <c r="E465" t="s">
        <v>1292</v>
      </c>
      <c r="F465" t="s">
        <v>22</v>
      </c>
      <c r="G465" t="s">
        <v>22</v>
      </c>
      <c r="J465" t="s">
        <v>1293</v>
      </c>
      <c r="K465">
        <v>43.290158300000002</v>
      </c>
      <c r="L465">
        <v>13.435486300000001</v>
      </c>
      <c r="M465" t="s">
        <v>1294</v>
      </c>
      <c r="N465" t="str">
        <f>TRIM(MID(M465,FIND(",",M465,FIND(",",M465)+1)+1,FIND(",",M465,FIND(",",M465,FIND(",",M465)+1)+1)-FIND(",",M465,FIND(",",M465)+1)-1))</f>
        <v>Macerata</v>
      </c>
    </row>
    <row r="466" spans="1:14" x14ac:dyDescent="0.3">
      <c r="A466">
        <v>465</v>
      </c>
      <c r="B466">
        <v>32</v>
      </c>
      <c r="D466" t="s">
        <v>1295</v>
      </c>
      <c r="E466" t="s">
        <v>1039</v>
      </c>
      <c r="F466">
        <v>199</v>
      </c>
      <c r="G466">
        <v>285</v>
      </c>
      <c r="J466" t="s">
        <v>1296</v>
      </c>
      <c r="K466">
        <v>43.287924500000003</v>
      </c>
      <c r="L466">
        <v>13.4347689</v>
      </c>
      <c r="M466" t="s">
        <v>1297</v>
      </c>
      <c r="N466" t="str">
        <f>TRIM(MID(M466,FIND(",",M466,FIND(",",M466)+1)+1,FIND(",",M466,FIND(",",M466,FIND(",",M466)+1)+1)-FIND(",",M466,FIND(",",M466)+1)-1))</f>
        <v>Macerata</v>
      </c>
    </row>
    <row r="467" spans="1:14" x14ac:dyDescent="0.3">
      <c r="A467">
        <v>466</v>
      </c>
      <c r="B467">
        <v>32</v>
      </c>
      <c r="D467" t="s">
        <v>1298</v>
      </c>
      <c r="E467" t="s">
        <v>1277</v>
      </c>
      <c r="F467">
        <v>4</v>
      </c>
      <c r="G467">
        <v>52</v>
      </c>
      <c r="J467" t="s">
        <v>1299</v>
      </c>
      <c r="K467">
        <v>43.291462899999999</v>
      </c>
      <c r="L467">
        <v>13.433059800000001</v>
      </c>
      <c r="M467" t="s">
        <v>1279</v>
      </c>
      <c r="N467" t="str">
        <f>TRIM(MID(M467,FIND(",",M467,FIND(",",M467)+1)+1,FIND(",",M467,FIND(",",M467,FIND(",",M467)+1)+1)-FIND(",",M467,FIND(",",M467)+1)-1))</f>
        <v>Macerata</v>
      </c>
    </row>
    <row r="468" spans="1:14" x14ac:dyDescent="0.3">
      <c r="A468">
        <v>467</v>
      </c>
      <c r="B468">
        <v>32</v>
      </c>
      <c r="D468" t="s">
        <v>1300</v>
      </c>
      <c r="E468" t="s">
        <v>1208</v>
      </c>
      <c r="F468">
        <v>85</v>
      </c>
      <c r="G468">
        <v>173</v>
      </c>
      <c r="J468" t="s">
        <v>1301</v>
      </c>
      <c r="K468">
        <v>43.298064400000001</v>
      </c>
      <c r="L468">
        <v>13.4366045</v>
      </c>
      <c r="M468" t="s">
        <v>1210</v>
      </c>
      <c r="N468" t="str">
        <f>TRIM(MID(M468,FIND(",",M468,FIND(",",M468)+1)+1,FIND(",",M468,FIND(",",M468,FIND(",",M468)+1)+1)-FIND(",",M468,FIND(",",M468)+1)-1))</f>
        <v>Santa Croce</v>
      </c>
    </row>
    <row r="469" spans="1:14" x14ac:dyDescent="0.3">
      <c r="A469">
        <v>468</v>
      </c>
      <c r="B469">
        <v>32</v>
      </c>
      <c r="D469" t="s">
        <v>1300</v>
      </c>
      <c r="E469" t="s">
        <v>1208</v>
      </c>
      <c r="F469">
        <v>92</v>
      </c>
      <c r="G469">
        <v>124</v>
      </c>
      <c r="J469" t="s">
        <v>1302</v>
      </c>
      <c r="K469">
        <v>43.298064400000001</v>
      </c>
      <c r="L469">
        <v>13.4366045</v>
      </c>
      <c r="M469" t="s">
        <v>1210</v>
      </c>
      <c r="N469" t="str">
        <f>TRIM(MID(M469,FIND(",",M469,FIND(",",M469)+1)+1,FIND(",",M469,FIND(",",M469,FIND(",",M469)+1)+1)-FIND(",",M469,FIND(",",M469)+1)-1))</f>
        <v>Santa Croce</v>
      </c>
    </row>
    <row r="470" spans="1:14" x14ac:dyDescent="0.3">
      <c r="A470">
        <v>469</v>
      </c>
      <c r="B470">
        <v>33</v>
      </c>
      <c r="D470" t="s">
        <v>1303</v>
      </c>
      <c r="E470" t="s">
        <v>1303</v>
      </c>
      <c r="F470" t="s">
        <v>22</v>
      </c>
      <c r="G470" t="s">
        <v>22</v>
      </c>
      <c r="J470" t="s">
        <v>1304</v>
      </c>
      <c r="K470">
        <v>43.2926523</v>
      </c>
      <c r="L470">
        <v>13.436601400000001</v>
      </c>
      <c r="M470" t="s">
        <v>1305</v>
      </c>
      <c r="N470" t="str">
        <f>TRIM(MID(M470,FIND(",",M470,FIND(",",M470)+1)+1,FIND(",",M470,FIND(",",M470,FIND(",",M470)+1)+1)-FIND(",",M470,FIND(",",M470)+1)-1))</f>
        <v>Macerata</v>
      </c>
    </row>
    <row r="471" spans="1:14" x14ac:dyDescent="0.3">
      <c r="A471">
        <v>470</v>
      </c>
      <c r="B471">
        <v>33</v>
      </c>
      <c r="D471" t="s">
        <v>1306</v>
      </c>
      <c r="E471" t="s">
        <v>1306</v>
      </c>
      <c r="F471" t="s">
        <v>22</v>
      </c>
      <c r="G471" t="s">
        <v>22</v>
      </c>
      <c r="J471" t="s">
        <v>1307</v>
      </c>
      <c r="K471">
        <v>43.291102700000003</v>
      </c>
      <c r="L471">
        <v>13.438846</v>
      </c>
      <c r="M471" t="s">
        <v>1308</v>
      </c>
      <c r="N471" t="str">
        <f>TRIM(MID(M471,FIND(",",M471,FIND(",",M471)+1)+1,FIND(",",M471,FIND(",",M471,FIND(",",M471)+1)+1)-FIND(",",M471,FIND(",",M471)+1)-1))</f>
        <v>Macerata</v>
      </c>
    </row>
    <row r="472" spans="1:14" x14ac:dyDescent="0.3">
      <c r="A472">
        <v>471</v>
      </c>
      <c r="B472">
        <v>33</v>
      </c>
      <c r="D472" t="s">
        <v>1309</v>
      </c>
      <c r="E472" t="s">
        <v>1309</v>
      </c>
      <c r="F472" t="s">
        <v>22</v>
      </c>
      <c r="G472" t="s">
        <v>22</v>
      </c>
      <c r="J472" t="s">
        <v>1310</v>
      </c>
      <c r="N472" t="e">
        <f>TRIM(MID(M472,FIND(",",M472,FIND(",",M472)+1)+1,FIND(",",M472,FIND(",",M472,FIND(",",M472)+1)+1)-FIND(",",M472,FIND(",",M472)+1)-1))</f>
        <v>#VALUE!</v>
      </c>
    </row>
    <row r="473" spans="1:14" x14ac:dyDescent="0.3">
      <c r="A473">
        <v>472</v>
      </c>
      <c r="B473">
        <v>33</v>
      </c>
      <c r="D473" t="s">
        <v>1311</v>
      </c>
      <c r="E473" t="s">
        <v>107</v>
      </c>
      <c r="F473">
        <v>7</v>
      </c>
      <c r="G473">
        <v>9</v>
      </c>
      <c r="J473" t="s">
        <v>1312</v>
      </c>
      <c r="K473">
        <v>43.407878799999999</v>
      </c>
      <c r="L473">
        <v>13.430115600000001</v>
      </c>
      <c r="M473" t="s">
        <v>1313</v>
      </c>
      <c r="N473" t="str">
        <f>TRIM(MID(M473,FIND(",",M473,FIND(",",M473)+1)+1,FIND(",",M473,FIND(",",M473,FIND(",",M473)+1)+1)-FIND(",",M473,FIND(",",M473)+1)-1))</f>
        <v>Contrada Paganuccia</v>
      </c>
    </row>
    <row r="474" spans="1:14" x14ac:dyDescent="0.3">
      <c r="A474">
        <v>473</v>
      </c>
      <c r="B474">
        <v>33</v>
      </c>
      <c r="D474" t="s">
        <v>1314</v>
      </c>
      <c r="E474" t="s">
        <v>1314</v>
      </c>
      <c r="F474">
        <v>2</v>
      </c>
      <c r="G474">
        <v>2</v>
      </c>
      <c r="J474" t="s">
        <v>1315</v>
      </c>
      <c r="K474">
        <v>43.290286100000003</v>
      </c>
      <c r="L474">
        <v>13.438649</v>
      </c>
      <c r="M474" t="s">
        <v>1316</v>
      </c>
      <c r="N474" t="str">
        <f>TRIM(MID(M474,FIND(",",M474,FIND(",",M474)+1)+1,FIND(",",M474,FIND(",",M474,FIND(",",M474)+1)+1)-FIND(",",M474,FIND(",",M474)+1)-1))</f>
        <v>Macerata</v>
      </c>
    </row>
    <row r="475" spans="1:14" x14ac:dyDescent="0.3">
      <c r="A475">
        <v>474</v>
      </c>
      <c r="B475">
        <v>33</v>
      </c>
      <c r="D475" t="s">
        <v>1317</v>
      </c>
      <c r="E475" t="s">
        <v>1317</v>
      </c>
      <c r="F475" t="s">
        <v>22</v>
      </c>
      <c r="G475" t="s">
        <v>22</v>
      </c>
      <c r="J475" t="s">
        <v>1318</v>
      </c>
      <c r="K475">
        <v>43.289478199999998</v>
      </c>
      <c r="L475">
        <v>13.4364729</v>
      </c>
      <c r="M475" t="s">
        <v>1319</v>
      </c>
      <c r="N475" t="str">
        <f>TRIM(MID(M475,FIND(",",M475,FIND(",",M475)+1)+1,FIND(",",M475,FIND(",",M475,FIND(",",M475)+1)+1)-FIND(",",M475,FIND(",",M475)+1)-1))</f>
        <v>Macerata</v>
      </c>
    </row>
    <row r="476" spans="1:14" x14ac:dyDescent="0.3">
      <c r="A476">
        <v>475</v>
      </c>
      <c r="B476">
        <v>33</v>
      </c>
      <c r="D476" t="s">
        <v>1320</v>
      </c>
      <c r="E476" t="s">
        <v>1320</v>
      </c>
      <c r="F476" t="s">
        <v>22</v>
      </c>
      <c r="G476" t="s">
        <v>22</v>
      </c>
      <c r="J476" t="s">
        <v>1321</v>
      </c>
      <c r="K476">
        <v>43.292630799999998</v>
      </c>
      <c r="L476">
        <v>13.437395799999999</v>
      </c>
      <c r="M476" t="s">
        <v>1322</v>
      </c>
      <c r="N476" t="str">
        <f>TRIM(MID(M476,FIND(",",M476,FIND(",",M476)+1)+1,FIND(",",M476,FIND(",",M476,FIND(",",M476)+1)+1)-FIND(",",M476,FIND(",",M476)+1)-1))</f>
        <v>Macerata</v>
      </c>
    </row>
    <row r="477" spans="1:14" x14ac:dyDescent="0.3">
      <c r="A477">
        <v>476</v>
      </c>
      <c r="B477">
        <v>33</v>
      </c>
      <c r="D477" t="s">
        <v>1323</v>
      </c>
      <c r="E477" t="s">
        <v>1033</v>
      </c>
      <c r="F477">
        <v>17</v>
      </c>
      <c r="G477">
        <v>55</v>
      </c>
      <c r="J477" t="s">
        <v>1324</v>
      </c>
      <c r="K477">
        <v>43.290898300000002</v>
      </c>
      <c r="L477">
        <v>13.4376874</v>
      </c>
      <c r="M477" t="s">
        <v>1325</v>
      </c>
      <c r="N477" t="str">
        <f>TRIM(MID(M477,FIND(",",M477,FIND(",",M477)+1)+1,FIND(",",M477,FIND(",",M477,FIND(",",M477)+1)+1)-FIND(",",M477,FIND(",",M477)+1)-1))</f>
        <v>Macerata</v>
      </c>
    </row>
    <row r="478" spans="1:14" x14ac:dyDescent="0.3">
      <c r="A478">
        <v>477</v>
      </c>
      <c r="B478">
        <v>33</v>
      </c>
      <c r="D478" t="s">
        <v>1323</v>
      </c>
      <c r="E478" t="s">
        <v>1033</v>
      </c>
      <c r="F478">
        <v>24</v>
      </c>
      <c r="G478">
        <v>44</v>
      </c>
      <c r="J478" t="s">
        <v>1326</v>
      </c>
      <c r="K478">
        <v>43.293258199999997</v>
      </c>
      <c r="L478">
        <v>13.438180600000001</v>
      </c>
      <c r="M478" t="s">
        <v>1327</v>
      </c>
      <c r="N478" t="str">
        <f>TRIM(MID(M478,FIND(",",M478,FIND(",",M478)+1)+1,FIND(",",M478,FIND(",",M478,FIND(",",M478)+1)+1)-FIND(",",M478,FIND(",",M478)+1)-1))</f>
        <v>San Francesco</v>
      </c>
    </row>
    <row r="479" spans="1:14" x14ac:dyDescent="0.3">
      <c r="A479">
        <v>478</v>
      </c>
      <c r="B479">
        <v>33</v>
      </c>
      <c r="D479" t="s">
        <v>1328</v>
      </c>
      <c r="E479" t="s">
        <v>1039</v>
      </c>
      <c r="F479">
        <v>208</v>
      </c>
      <c r="G479">
        <v>272</v>
      </c>
      <c r="J479" t="s">
        <v>1329</v>
      </c>
      <c r="K479">
        <v>43.2891811</v>
      </c>
      <c r="L479">
        <v>13.4354941</v>
      </c>
      <c r="M479" t="s">
        <v>1297</v>
      </c>
      <c r="N479" t="str">
        <f>TRIM(MID(M479,FIND(",",M479,FIND(",",M479)+1)+1,FIND(",",M479,FIND(",",M479,FIND(",",M479)+1)+1)-FIND(",",M479,FIND(",",M479)+1)-1))</f>
        <v>Macerata</v>
      </c>
    </row>
    <row r="480" spans="1:14" x14ac:dyDescent="0.3">
      <c r="A480">
        <v>479</v>
      </c>
      <c r="B480">
        <v>33</v>
      </c>
      <c r="D480" t="s">
        <v>1330</v>
      </c>
      <c r="E480" t="s">
        <v>1330</v>
      </c>
      <c r="F480" t="s">
        <v>22</v>
      </c>
      <c r="G480" t="s">
        <v>22</v>
      </c>
      <c r="J480" t="s">
        <v>1331</v>
      </c>
      <c r="N480" t="e">
        <f>TRIM(MID(M480,FIND(",",M480,FIND(",",M480)+1)+1,FIND(",",M480,FIND(",",M480,FIND(",",M480)+1)+1)-FIND(",",M480,FIND(",",M480)+1)-1))</f>
        <v>#VALUE!</v>
      </c>
    </row>
    <row r="481" spans="1:14" x14ac:dyDescent="0.3">
      <c r="A481">
        <v>480</v>
      </c>
      <c r="B481">
        <v>33</v>
      </c>
      <c r="D481" t="s">
        <v>1332</v>
      </c>
      <c r="E481" t="s">
        <v>1208</v>
      </c>
      <c r="F481">
        <v>132</v>
      </c>
      <c r="G481">
        <v>136</v>
      </c>
      <c r="J481" t="s">
        <v>1333</v>
      </c>
      <c r="K481">
        <v>43.292245700000002</v>
      </c>
      <c r="L481">
        <v>13.436097699999999</v>
      </c>
      <c r="M481" t="s">
        <v>1334</v>
      </c>
      <c r="N481" t="str">
        <f>TRIM(MID(M481,FIND(",",M481,FIND(",",M481)+1)+1,FIND(",",M481,FIND(",",M481,FIND(",",M481)+1)+1)-FIND(",",M481,FIND(",",M481)+1)-1))</f>
        <v>San Francesco</v>
      </c>
    </row>
    <row r="482" spans="1:14" x14ac:dyDescent="0.3">
      <c r="A482">
        <v>481</v>
      </c>
      <c r="B482">
        <v>34</v>
      </c>
      <c r="D482" t="s">
        <v>1335</v>
      </c>
      <c r="E482" t="s">
        <v>1335</v>
      </c>
      <c r="F482" t="s">
        <v>22</v>
      </c>
      <c r="G482" t="s">
        <v>22</v>
      </c>
      <c r="J482" t="s">
        <v>1336</v>
      </c>
      <c r="K482">
        <v>43.2870621</v>
      </c>
      <c r="L482">
        <v>13.4320352</v>
      </c>
      <c r="M482" t="s">
        <v>1337</v>
      </c>
      <c r="N482" t="str">
        <f>TRIM(MID(M482,FIND(",",M482,FIND(",",M482)+1)+1,FIND(",",M482,FIND(",",M482,FIND(",",M482)+1)+1)-FIND(",",M482,FIND(",",M482)+1)-1))</f>
        <v>Macerata</v>
      </c>
    </row>
    <row r="483" spans="1:14" x14ac:dyDescent="0.3">
      <c r="A483">
        <v>482</v>
      </c>
      <c r="B483">
        <v>34</v>
      </c>
      <c r="D483" t="s">
        <v>1338</v>
      </c>
      <c r="E483" t="s">
        <v>1338</v>
      </c>
      <c r="F483" t="s">
        <v>22</v>
      </c>
      <c r="G483" t="s">
        <v>22</v>
      </c>
      <c r="J483" t="s">
        <v>1339</v>
      </c>
      <c r="K483">
        <v>43.286546800000004</v>
      </c>
      <c r="L483">
        <v>13.431654699999999</v>
      </c>
      <c r="M483" t="s">
        <v>1340</v>
      </c>
      <c r="N483" t="str">
        <f>TRIM(MID(M483,FIND(",",M483,FIND(",",M483)+1)+1,FIND(",",M483,FIND(",",M483,FIND(",",M483)+1)+1)-FIND(",",M483,FIND(",",M483)+1)-1))</f>
        <v>Macerata</v>
      </c>
    </row>
    <row r="484" spans="1:14" x14ac:dyDescent="0.3">
      <c r="A484">
        <v>483</v>
      </c>
      <c r="B484">
        <v>34</v>
      </c>
      <c r="D484" t="s">
        <v>1341</v>
      </c>
      <c r="E484" t="s">
        <v>1039</v>
      </c>
      <c r="F484">
        <v>287</v>
      </c>
      <c r="G484">
        <v>295</v>
      </c>
      <c r="J484" t="s">
        <v>1342</v>
      </c>
      <c r="K484">
        <v>43.287924500000003</v>
      </c>
      <c r="L484">
        <v>13.4347689</v>
      </c>
      <c r="M484" t="s">
        <v>1297</v>
      </c>
      <c r="N484" t="str">
        <f>TRIM(MID(M484,FIND(",",M484,FIND(",",M484)+1)+1,FIND(",",M484,FIND(",",M484,FIND(",",M484)+1)+1)-FIND(",",M484,FIND(",",M484)+1)-1))</f>
        <v>Macerata</v>
      </c>
    </row>
    <row r="485" spans="1:14" x14ac:dyDescent="0.3">
      <c r="A485">
        <v>484</v>
      </c>
      <c r="B485">
        <v>34</v>
      </c>
      <c r="D485" t="s">
        <v>1343</v>
      </c>
      <c r="E485" t="s">
        <v>1344</v>
      </c>
      <c r="F485">
        <v>19</v>
      </c>
      <c r="G485">
        <v>41</v>
      </c>
      <c r="J485" t="s">
        <v>1345</v>
      </c>
      <c r="K485">
        <v>43.364655800000001</v>
      </c>
      <c r="L485">
        <v>13.4393156</v>
      </c>
      <c r="M485" t="s">
        <v>1346</v>
      </c>
      <c r="N485" t="str">
        <f>TRIM(MID(M485,FIND(",",M485,FIND(",",M485)+1)+1,FIND(",",M485,FIND(",",M485,FIND(",",M485)+1)+1)-FIND(",",M485,FIND(",",M485)+1)-1))</f>
        <v>Montecassiano</v>
      </c>
    </row>
    <row r="486" spans="1:14" x14ac:dyDescent="0.3">
      <c r="A486">
        <v>485</v>
      </c>
      <c r="B486">
        <v>34</v>
      </c>
      <c r="D486" t="s">
        <v>1347</v>
      </c>
      <c r="E486" t="s">
        <v>1348</v>
      </c>
      <c r="F486">
        <v>3</v>
      </c>
      <c r="G486">
        <v>37</v>
      </c>
      <c r="J486" t="s">
        <v>1349</v>
      </c>
      <c r="K486">
        <v>43.2674758</v>
      </c>
      <c r="L486">
        <v>13.583116800000001</v>
      </c>
      <c r="M486" t="s">
        <v>1350</v>
      </c>
      <c r="N486" t="str">
        <f>TRIM(MID(M486,FIND(",",M486,FIND(",",M486)+1)+1,FIND(",",M486,FIND(",",M486,FIND(",",M486)+1)+1)-FIND(",",M486,FIND(",",M486)+1)-1))</f>
        <v>Trodica</v>
      </c>
    </row>
    <row r="487" spans="1:14" x14ac:dyDescent="0.3">
      <c r="A487">
        <v>486</v>
      </c>
      <c r="B487">
        <v>34</v>
      </c>
      <c r="D487" t="s">
        <v>1347</v>
      </c>
      <c r="E487" t="s">
        <v>1348</v>
      </c>
      <c r="F487">
        <v>2</v>
      </c>
      <c r="G487">
        <v>68</v>
      </c>
      <c r="J487" t="s">
        <v>1351</v>
      </c>
      <c r="K487">
        <v>43.2674387</v>
      </c>
      <c r="L487">
        <v>13.582864199999999</v>
      </c>
      <c r="M487" t="s">
        <v>1352</v>
      </c>
      <c r="N487" t="str">
        <f>TRIM(MID(M487,FIND(",",M487,FIND(",",M487)+1)+1,FIND(",",M487,FIND(",",M487,FIND(",",M487)+1)+1)-FIND(",",M487,FIND(",",M487)+1)-1))</f>
        <v>Trodica</v>
      </c>
    </row>
    <row r="488" spans="1:14" x14ac:dyDescent="0.3">
      <c r="A488">
        <v>487</v>
      </c>
      <c r="B488">
        <v>35</v>
      </c>
      <c r="D488" t="s">
        <v>1353</v>
      </c>
      <c r="E488" t="s">
        <v>1353</v>
      </c>
      <c r="F488" t="s">
        <v>22</v>
      </c>
      <c r="G488" t="s">
        <v>22</v>
      </c>
      <c r="J488" t="s">
        <v>1354</v>
      </c>
      <c r="K488">
        <v>43.272212799999998</v>
      </c>
      <c r="L488">
        <v>13.417030799999999</v>
      </c>
      <c r="M488" t="s">
        <v>1355</v>
      </c>
      <c r="N488" t="str">
        <f>TRIM(MID(M488,FIND(",",M488,FIND(",",M488)+1)+1,FIND(",",M488,FIND(",",M488,FIND(",",M488)+1)+1)-FIND(",",M488,FIND(",",M488)+1)-1))</f>
        <v>Macerata</v>
      </c>
    </row>
    <row r="489" spans="1:14" x14ac:dyDescent="0.3">
      <c r="A489">
        <v>488</v>
      </c>
      <c r="B489">
        <v>35</v>
      </c>
      <c r="D489" t="s">
        <v>1356</v>
      </c>
      <c r="E489" t="s">
        <v>414</v>
      </c>
      <c r="F489">
        <v>17</v>
      </c>
      <c r="G489">
        <v>43</v>
      </c>
      <c r="J489" t="s">
        <v>1357</v>
      </c>
      <c r="N489" t="e">
        <f>TRIM(MID(M489,FIND(",",M489,FIND(",",M489)+1)+1,FIND(",",M489,FIND(",",M489,FIND(",",M489)+1)+1)-FIND(",",M489,FIND(",",M489)+1)-1))</f>
        <v>#VALUE!</v>
      </c>
    </row>
    <row r="490" spans="1:14" x14ac:dyDescent="0.3">
      <c r="A490">
        <v>489</v>
      </c>
      <c r="B490">
        <v>35</v>
      </c>
      <c r="D490" t="s">
        <v>1356</v>
      </c>
      <c r="E490" t="s">
        <v>414</v>
      </c>
      <c r="F490">
        <v>18</v>
      </c>
      <c r="G490">
        <v>44</v>
      </c>
      <c r="J490" t="s">
        <v>1358</v>
      </c>
      <c r="N490" t="e">
        <f>TRIM(MID(M490,FIND(",",M490,FIND(",",M490)+1)+1,FIND(",",M490,FIND(",",M490,FIND(",",M490)+1)+1)-FIND(",",M490,FIND(",",M490)+1)-1))</f>
        <v>#VALUE!</v>
      </c>
    </row>
    <row r="491" spans="1:14" x14ac:dyDescent="0.3">
      <c r="A491">
        <v>490</v>
      </c>
      <c r="B491">
        <v>35</v>
      </c>
      <c r="D491" t="s">
        <v>1359</v>
      </c>
      <c r="E491" t="s">
        <v>1359</v>
      </c>
      <c r="F491" t="s">
        <v>22</v>
      </c>
      <c r="G491" t="s">
        <v>22</v>
      </c>
      <c r="J491" t="s">
        <v>1360</v>
      </c>
      <c r="K491">
        <v>43.280797100000001</v>
      </c>
      <c r="L491">
        <v>13.430422800000001</v>
      </c>
      <c r="M491" t="s">
        <v>1361</v>
      </c>
      <c r="N491" t="str">
        <f>TRIM(MID(M491,FIND(",",M491,FIND(",",M491)+1)+1,FIND(",",M491,FIND(",",M491,FIND(",",M491)+1)+1)-FIND(",",M491,FIND(",",M491)+1)-1))</f>
        <v>Macerata</v>
      </c>
    </row>
    <row r="492" spans="1:14" x14ac:dyDescent="0.3">
      <c r="A492">
        <v>491</v>
      </c>
      <c r="B492">
        <v>35</v>
      </c>
      <c r="D492" t="s">
        <v>1362</v>
      </c>
      <c r="E492" t="s">
        <v>407</v>
      </c>
      <c r="F492">
        <v>10</v>
      </c>
      <c r="G492">
        <v>10</v>
      </c>
      <c r="J492" t="s">
        <v>1363</v>
      </c>
      <c r="K492">
        <v>43.286222500000001</v>
      </c>
      <c r="L492">
        <v>13.6862478</v>
      </c>
      <c r="M492" t="s">
        <v>1364</v>
      </c>
      <c r="N492" t="str">
        <f>TRIM(MID(M492,FIND(",",M492,FIND(",",M492)+1)+1,FIND(",",M492,FIND(",",M492,FIND(",",M492)+1)+1)-FIND(",",M492,FIND(",",M492)+1)-1))</f>
        <v>Zona Industriale A</v>
      </c>
    </row>
    <row r="493" spans="1:14" x14ac:dyDescent="0.3">
      <c r="A493">
        <v>492</v>
      </c>
      <c r="B493">
        <v>35</v>
      </c>
      <c r="D493" t="s">
        <v>1365</v>
      </c>
      <c r="E493" t="s">
        <v>1366</v>
      </c>
      <c r="F493">
        <v>15</v>
      </c>
      <c r="G493">
        <v>25</v>
      </c>
      <c r="J493" t="s">
        <v>1367</v>
      </c>
      <c r="K493">
        <v>43.2837721</v>
      </c>
      <c r="L493">
        <v>13.430988899999999</v>
      </c>
      <c r="M493" t="s">
        <v>1368</v>
      </c>
      <c r="N493" t="str">
        <f>TRIM(MID(M493,FIND(",",M493,FIND(",",M493)+1)+1,FIND(",",M493,FIND(",",M493,FIND(",",M493)+1)+1)-FIND(",",M493,FIND(",",M493)+1)-1))</f>
        <v>Collevario</v>
      </c>
    </row>
    <row r="494" spans="1:14" x14ac:dyDescent="0.3">
      <c r="A494">
        <v>493</v>
      </c>
      <c r="B494">
        <v>35</v>
      </c>
      <c r="D494" t="s">
        <v>1369</v>
      </c>
      <c r="E494" t="s">
        <v>1370</v>
      </c>
      <c r="F494">
        <v>2</v>
      </c>
      <c r="G494">
        <v>66</v>
      </c>
      <c r="J494" t="s">
        <v>1371</v>
      </c>
      <c r="K494">
        <v>43.282128100000001</v>
      </c>
      <c r="L494">
        <v>13.4264995</v>
      </c>
      <c r="M494" t="s">
        <v>1372</v>
      </c>
      <c r="N494" t="str">
        <f>TRIM(MID(M494,FIND(",",M494,FIND(",",M494)+1)+1,FIND(",",M494,FIND(",",M494,FIND(",",M494)+1)+1)-FIND(",",M494,FIND(",",M494)+1)-1))</f>
        <v>Macerata</v>
      </c>
    </row>
    <row r="495" spans="1:14" x14ac:dyDescent="0.3">
      <c r="A495">
        <v>494</v>
      </c>
      <c r="B495">
        <v>35</v>
      </c>
      <c r="D495" t="s">
        <v>1373</v>
      </c>
      <c r="E495" t="s">
        <v>1374</v>
      </c>
      <c r="F495">
        <v>31</v>
      </c>
      <c r="G495">
        <v>53</v>
      </c>
      <c r="J495" t="s">
        <v>1375</v>
      </c>
      <c r="K495">
        <v>43.283014799999997</v>
      </c>
      <c r="L495">
        <v>13.431689499999999</v>
      </c>
      <c r="M495" t="s">
        <v>1376</v>
      </c>
      <c r="N495" t="str">
        <f>TRIM(MID(M495,FIND(",",M495,FIND(",",M495)+1)+1,FIND(",",M495,FIND(",",M495,FIND(",",M495)+1)+1)-FIND(",",M495,FIND(",",M495)+1)-1))</f>
        <v>Macerata</v>
      </c>
    </row>
    <row r="496" spans="1:14" x14ac:dyDescent="0.3">
      <c r="A496">
        <v>495</v>
      </c>
      <c r="B496">
        <v>35</v>
      </c>
      <c r="D496" t="s">
        <v>1373</v>
      </c>
      <c r="E496" t="s">
        <v>1374</v>
      </c>
      <c r="F496">
        <v>4</v>
      </c>
      <c r="G496">
        <v>20</v>
      </c>
      <c r="J496" t="s">
        <v>1377</v>
      </c>
      <c r="K496">
        <v>43.3059765</v>
      </c>
      <c r="L496">
        <v>13.7140328</v>
      </c>
      <c r="M496" t="s">
        <v>1378</v>
      </c>
      <c r="N496" t="str">
        <f>TRIM(MID(M496,FIND(",",M496,FIND(",",M496)+1)+1,FIND(",",M496,FIND(",",M496,FIND(",",M496)+1)+1)-FIND(",",M496,FIND(",",M496)+1)-1))</f>
        <v>San Giuseppe</v>
      </c>
    </row>
    <row r="497" spans="1:14" x14ac:dyDescent="0.3">
      <c r="A497">
        <v>496</v>
      </c>
      <c r="B497">
        <v>35</v>
      </c>
      <c r="D497" t="s">
        <v>1379</v>
      </c>
      <c r="E497" t="s">
        <v>1039</v>
      </c>
      <c r="F497">
        <v>381</v>
      </c>
      <c r="G497">
        <v>401</v>
      </c>
      <c r="J497" t="s">
        <v>1380</v>
      </c>
      <c r="K497">
        <v>43.2891811</v>
      </c>
      <c r="L497">
        <v>13.4354941</v>
      </c>
      <c r="M497" t="s">
        <v>1297</v>
      </c>
      <c r="N497" t="str">
        <f>TRIM(MID(M497,FIND(",",M497,FIND(",",M497)+1)+1,FIND(",",M497,FIND(",",M497,FIND(",",M497)+1)+1)-FIND(",",M497,FIND(",",M497)+1)-1))</f>
        <v>Macerata</v>
      </c>
    </row>
    <row r="498" spans="1:14" x14ac:dyDescent="0.3">
      <c r="A498">
        <v>497</v>
      </c>
      <c r="B498">
        <v>35</v>
      </c>
      <c r="D498" t="s">
        <v>1379</v>
      </c>
      <c r="E498" t="s">
        <v>1039</v>
      </c>
      <c r="F498">
        <v>350</v>
      </c>
      <c r="G498">
        <v>40</v>
      </c>
      <c r="J498" t="s">
        <v>1381</v>
      </c>
      <c r="K498">
        <v>43.287924500000003</v>
      </c>
      <c r="L498">
        <v>13.4347689</v>
      </c>
      <c r="M498" t="s">
        <v>1297</v>
      </c>
      <c r="N498" t="str">
        <f>TRIM(MID(M498,FIND(",",M498,FIND(",",M498)+1)+1,FIND(",",M498,FIND(",",M498,FIND(",",M498)+1)+1)-FIND(",",M498,FIND(",",M498)+1)-1))</f>
        <v>Macerata</v>
      </c>
    </row>
    <row r="499" spans="1:14" x14ac:dyDescent="0.3">
      <c r="A499">
        <v>498</v>
      </c>
      <c r="B499">
        <v>35</v>
      </c>
      <c r="D499" t="s">
        <v>1382</v>
      </c>
      <c r="E499" t="s">
        <v>1344</v>
      </c>
      <c r="F499">
        <v>14</v>
      </c>
      <c r="G499">
        <v>100</v>
      </c>
      <c r="J499" t="s">
        <v>1383</v>
      </c>
      <c r="K499">
        <v>43.302751899999997</v>
      </c>
      <c r="L499">
        <v>13.7148406</v>
      </c>
      <c r="M499" t="s">
        <v>1384</v>
      </c>
      <c r="N499" t="str">
        <f>TRIM(MID(M499,FIND(",",M499,FIND(",",M499)+1)+1,FIND(",",M499,FIND(",",M499,FIND(",",M499)+1)+1)-FIND(",",M499,FIND(",",M499)+1)-1))</f>
        <v>San Marone</v>
      </c>
    </row>
    <row r="500" spans="1:14" x14ac:dyDescent="0.3">
      <c r="A500">
        <v>499</v>
      </c>
      <c r="B500">
        <v>35</v>
      </c>
      <c r="D500" t="s">
        <v>1385</v>
      </c>
      <c r="E500" t="s">
        <v>1348</v>
      </c>
      <c r="F500">
        <v>150</v>
      </c>
      <c r="G500">
        <v>200</v>
      </c>
      <c r="J500" t="s">
        <v>1386</v>
      </c>
      <c r="K500">
        <v>43.285126599999998</v>
      </c>
      <c r="L500">
        <v>13.4278975</v>
      </c>
      <c r="M500" t="s">
        <v>1387</v>
      </c>
      <c r="N500" t="str">
        <f>TRIM(MID(M500,FIND(",",M500,FIND(",",M500)+1)+1,FIND(",",M500,FIND(",",M500,FIND(",",M500)+1)+1)-FIND(",",M500,FIND(",",M500)+1)-1))</f>
        <v>Macerata</v>
      </c>
    </row>
    <row r="501" spans="1:14" x14ac:dyDescent="0.3">
      <c r="A501">
        <v>500</v>
      </c>
      <c r="B501">
        <v>36</v>
      </c>
      <c r="D501" t="s">
        <v>1388</v>
      </c>
      <c r="E501" t="s">
        <v>107</v>
      </c>
      <c r="F501">
        <v>1</v>
      </c>
      <c r="G501">
        <v>1</v>
      </c>
      <c r="J501" t="s">
        <v>108</v>
      </c>
      <c r="K501">
        <v>43.433537999999999</v>
      </c>
      <c r="L501">
        <v>13.660466400000001</v>
      </c>
      <c r="M501" t="s">
        <v>109</v>
      </c>
      <c r="N501" t="str">
        <f>TRIM(MID(M501,FIND(",",M501,FIND(",",M501)+1)+1,FIND(",",M501,FIND(",",M501,FIND(",",M501)+1)+1)-FIND(",",M501,FIND(",",M501)+1)-1))</f>
        <v>Porto Recanati</v>
      </c>
    </row>
    <row r="502" spans="1:14" x14ac:dyDescent="0.3">
      <c r="A502">
        <v>501</v>
      </c>
      <c r="B502">
        <v>36</v>
      </c>
      <c r="D502" t="s">
        <v>1389</v>
      </c>
      <c r="E502" t="s">
        <v>1366</v>
      </c>
      <c r="F502">
        <v>28</v>
      </c>
      <c r="G502">
        <v>30</v>
      </c>
      <c r="J502" t="s">
        <v>1390</v>
      </c>
      <c r="K502">
        <v>43.283451700000001</v>
      </c>
      <c r="L502">
        <v>13.4309592</v>
      </c>
      <c r="M502" t="s">
        <v>1391</v>
      </c>
      <c r="N502" t="str">
        <f>TRIM(MID(M502,FIND(",",M502,FIND(",",M502)+1)+1,FIND(",",M502,FIND(",",M502,FIND(",",M502)+1)+1)-FIND(",",M502,FIND(",",M502)+1)-1))</f>
        <v>Macerata</v>
      </c>
    </row>
    <row r="503" spans="1:14" x14ac:dyDescent="0.3">
      <c r="A503">
        <v>502</v>
      </c>
      <c r="B503">
        <v>36</v>
      </c>
      <c r="D503" t="s">
        <v>1392</v>
      </c>
      <c r="E503" t="s">
        <v>1370</v>
      </c>
      <c r="F503">
        <v>5</v>
      </c>
      <c r="G503">
        <v>45</v>
      </c>
      <c r="J503" t="s">
        <v>1393</v>
      </c>
      <c r="K503">
        <v>43.3019751</v>
      </c>
      <c r="L503">
        <v>13.714805200000001</v>
      </c>
      <c r="M503" t="s">
        <v>1394</v>
      </c>
      <c r="N503" t="str">
        <f>TRIM(MID(M503,FIND(",",M503,FIND(",",M503)+1)+1,FIND(",",M503,FIND(",",M503,FIND(",",M503)+1)+1)-FIND(",",M503,FIND(",",M503)+1)-1))</f>
        <v>San Giuseppe</v>
      </c>
    </row>
    <row r="504" spans="1:14" x14ac:dyDescent="0.3">
      <c r="A504">
        <v>503</v>
      </c>
      <c r="B504">
        <v>36</v>
      </c>
      <c r="D504" t="s">
        <v>1392</v>
      </c>
      <c r="E504" t="s">
        <v>1370</v>
      </c>
      <c r="F504">
        <v>46</v>
      </c>
      <c r="G504">
        <v>46</v>
      </c>
      <c r="J504" t="s">
        <v>1395</v>
      </c>
      <c r="K504">
        <v>43.282128100000001</v>
      </c>
      <c r="L504">
        <v>13.4264995</v>
      </c>
      <c r="M504" t="s">
        <v>1372</v>
      </c>
      <c r="N504" t="str">
        <f>TRIM(MID(M504,FIND(",",M504,FIND(",",M504)+1)+1,FIND(",",M504,FIND(",",M504,FIND(",",M504)+1)+1)-FIND(",",M504,FIND(",",M504)+1)-1))</f>
        <v>Macerata</v>
      </c>
    </row>
    <row r="505" spans="1:14" x14ac:dyDescent="0.3">
      <c r="A505">
        <v>504</v>
      </c>
      <c r="B505">
        <v>36</v>
      </c>
      <c r="D505" t="s">
        <v>1396</v>
      </c>
      <c r="E505" t="s">
        <v>1374</v>
      </c>
      <c r="F505">
        <v>3</v>
      </c>
      <c r="G505">
        <v>29</v>
      </c>
      <c r="J505" t="s">
        <v>1397</v>
      </c>
      <c r="K505">
        <v>43.3062556</v>
      </c>
      <c r="L505">
        <v>13.7140542</v>
      </c>
      <c r="M505" t="s">
        <v>1398</v>
      </c>
      <c r="N505" t="str">
        <f>TRIM(MID(M505,FIND(",",M505,FIND(",",M505)+1)+1,FIND(",",M505,FIND(",",M505,FIND(",",M505)+1)+1)-FIND(",",M505,FIND(",",M505)+1)-1))</f>
        <v>San Giuseppe</v>
      </c>
    </row>
    <row r="506" spans="1:14" x14ac:dyDescent="0.3">
      <c r="A506">
        <v>505</v>
      </c>
      <c r="B506">
        <v>36</v>
      </c>
      <c r="D506" t="s">
        <v>1399</v>
      </c>
      <c r="E506" t="s">
        <v>1399</v>
      </c>
      <c r="F506" t="s">
        <v>22</v>
      </c>
      <c r="G506" t="s">
        <v>22</v>
      </c>
      <c r="J506" t="s">
        <v>1400</v>
      </c>
      <c r="K506">
        <v>43.282572899999998</v>
      </c>
      <c r="L506">
        <v>13.429127899999999</v>
      </c>
      <c r="M506" t="s">
        <v>1401</v>
      </c>
      <c r="N506" t="str">
        <f>TRIM(MID(M506,FIND(",",M506,FIND(",",M506)+1)+1,FIND(",",M506,FIND(",",M506,FIND(",",M506)+1)+1)-FIND(",",M506,FIND(",",M506)+1)-1))</f>
        <v>Macerata</v>
      </c>
    </row>
    <row r="507" spans="1:14" x14ac:dyDescent="0.3">
      <c r="A507">
        <v>506</v>
      </c>
      <c r="B507">
        <v>36</v>
      </c>
      <c r="D507" t="s">
        <v>1402</v>
      </c>
      <c r="E507" t="s">
        <v>1348</v>
      </c>
      <c r="F507">
        <v>39</v>
      </c>
      <c r="G507">
        <v>293</v>
      </c>
      <c r="J507" t="s">
        <v>1403</v>
      </c>
      <c r="K507">
        <v>43.285126599999998</v>
      </c>
      <c r="L507">
        <v>13.4278975</v>
      </c>
      <c r="M507" t="s">
        <v>1387</v>
      </c>
      <c r="N507" t="str">
        <f>TRIM(MID(M507,FIND(",",M507,FIND(",",M507)+1)+1,FIND(",",M507,FIND(",",M507,FIND(",",M507)+1)+1)-FIND(",",M507,FIND(",",M507)+1)-1))</f>
        <v>Macerata</v>
      </c>
    </row>
    <row r="508" spans="1:14" x14ac:dyDescent="0.3">
      <c r="A508">
        <v>507</v>
      </c>
      <c r="B508">
        <v>36</v>
      </c>
      <c r="D508" t="s">
        <v>1402</v>
      </c>
      <c r="E508" t="s">
        <v>1348</v>
      </c>
      <c r="F508">
        <v>90</v>
      </c>
      <c r="G508">
        <v>258</v>
      </c>
      <c r="J508" t="s">
        <v>1404</v>
      </c>
      <c r="K508">
        <v>43.285126599999998</v>
      </c>
      <c r="L508">
        <v>13.4278975</v>
      </c>
      <c r="M508" t="s">
        <v>1387</v>
      </c>
      <c r="N508" t="str">
        <f>TRIM(MID(M508,FIND(",",M508,FIND(",",M508)+1)+1,FIND(",",M508,FIND(",",M508,FIND(",",M508)+1)+1)-FIND(",",M508,FIND(",",M508)+1)-1))</f>
        <v>Macerata</v>
      </c>
    </row>
    <row r="509" spans="1:14" x14ac:dyDescent="0.3">
      <c r="A509">
        <v>508</v>
      </c>
      <c r="B509">
        <v>37</v>
      </c>
      <c r="D509" t="s">
        <v>1405</v>
      </c>
      <c r="E509" t="s">
        <v>1405</v>
      </c>
      <c r="F509" t="s">
        <v>22</v>
      </c>
      <c r="G509" t="s">
        <v>22</v>
      </c>
      <c r="J509" t="s">
        <v>1406</v>
      </c>
      <c r="K509">
        <v>43.322874400000003</v>
      </c>
      <c r="L509">
        <v>13.4423168</v>
      </c>
      <c r="M509" t="s">
        <v>1407</v>
      </c>
      <c r="N509" t="str">
        <f>TRIM(MID(M509,FIND(",",M509,FIND(",",M509)+1)+1,FIND(",",M509,FIND(",",M509,FIND(",",M509)+1)+1)-FIND(",",M509,FIND(",",M509)+1)-1))</f>
        <v>Villa Potenza</v>
      </c>
    </row>
    <row r="510" spans="1:14" x14ac:dyDescent="0.3">
      <c r="A510">
        <v>509</v>
      </c>
      <c r="B510">
        <v>37</v>
      </c>
      <c r="D510" t="s">
        <v>1408</v>
      </c>
      <c r="E510" t="s">
        <v>1409</v>
      </c>
      <c r="F510">
        <v>1</v>
      </c>
      <c r="G510">
        <v>107</v>
      </c>
      <c r="J510" t="s">
        <v>1410</v>
      </c>
      <c r="K510">
        <v>43.325846400000003</v>
      </c>
      <c r="L510">
        <v>13.4270011</v>
      </c>
      <c r="M510" t="s">
        <v>1411</v>
      </c>
      <c r="N510" t="str">
        <f>TRIM(MID(M510,FIND(",",M510,FIND(",",M510)+1)+1,FIND(",",M510,FIND(",",M510,FIND(",",M510)+1)+1)-FIND(",",M510,FIND(",",M510)+1)-1))</f>
        <v>Macerata</v>
      </c>
    </row>
    <row r="511" spans="1:14" x14ac:dyDescent="0.3">
      <c r="A511">
        <v>510</v>
      </c>
      <c r="B511">
        <v>37</v>
      </c>
      <c r="D511" t="s">
        <v>1408</v>
      </c>
      <c r="E511" t="s">
        <v>1409</v>
      </c>
      <c r="F511">
        <v>4</v>
      </c>
      <c r="G511">
        <v>92</v>
      </c>
      <c r="J511" t="s">
        <v>1412</v>
      </c>
      <c r="K511">
        <v>43.325846400000003</v>
      </c>
      <c r="L511">
        <v>13.4270011</v>
      </c>
      <c r="M511" t="s">
        <v>1411</v>
      </c>
      <c r="N511" t="str">
        <f>TRIM(MID(M511,FIND(",",M511,FIND(",",M511)+1)+1,FIND(",",M511,FIND(",",M511,FIND(",",M511)+1)+1)-FIND(",",M511,FIND(",",M511)+1)-1))</f>
        <v>Macerata</v>
      </c>
    </row>
    <row r="512" spans="1:14" x14ac:dyDescent="0.3">
      <c r="A512">
        <v>511</v>
      </c>
      <c r="B512">
        <v>37</v>
      </c>
      <c r="D512" t="s">
        <v>1413</v>
      </c>
      <c r="E512" t="s">
        <v>1413</v>
      </c>
      <c r="F512" t="s">
        <v>22</v>
      </c>
      <c r="G512" t="s">
        <v>22</v>
      </c>
      <c r="J512" t="s">
        <v>1414</v>
      </c>
      <c r="K512">
        <v>43.328907899999997</v>
      </c>
      <c r="L512">
        <v>13.450211700000001</v>
      </c>
      <c r="M512" t="s">
        <v>1415</v>
      </c>
      <c r="N512" t="str">
        <f>TRIM(MID(M512,FIND(",",M512,FIND(",",M512)+1)+1,FIND(",",M512,FIND(",",M512,FIND(",",M512)+1)+1)-FIND(",",M512,FIND(",",M512)+1)-1))</f>
        <v>62100</v>
      </c>
    </row>
    <row r="513" spans="1:14" x14ac:dyDescent="0.3">
      <c r="A513">
        <v>512</v>
      </c>
      <c r="B513">
        <v>37</v>
      </c>
      <c r="D513" t="s">
        <v>1416</v>
      </c>
      <c r="E513" t="s">
        <v>1417</v>
      </c>
      <c r="F513">
        <v>41</v>
      </c>
      <c r="G513">
        <v>49</v>
      </c>
      <c r="J513" t="s">
        <v>1418</v>
      </c>
      <c r="K513">
        <v>43.3917328</v>
      </c>
      <c r="L513">
        <v>13.6245002</v>
      </c>
      <c r="M513" t="s">
        <v>1419</v>
      </c>
      <c r="N513" t="str">
        <f>TRIM(MID(M513,FIND(",",M513,FIND(",",M513)+1)+1,FIND(",",M513,FIND(",",M513,FIND(",",M513)+1)+1)-FIND(",",M513,FIND(",",M513)+1)-1))</f>
        <v>Macerata</v>
      </c>
    </row>
    <row r="514" spans="1:14" x14ac:dyDescent="0.3">
      <c r="A514">
        <v>513</v>
      </c>
      <c r="B514">
        <v>37</v>
      </c>
      <c r="D514" t="s">
        <v>1416</v>
      </c>
      <c r="E514" t="s">
        <v>1417</v>
      </c>
      <c r="F514">
        <v>40</v>
      </c>
      <c r="G514">
        <v>52</v>
      </c>
      <c r="J514" t="s">
        <v>1420</v>
      </c>
      <c r="K514">
        <v>43.3917328</v>
      </c>
      <c r="L514">
        <v>13.6245002</v>
      </c>
      <c r="M514" t="s">
        <v>1419</v>
      </c>
      <c r="N514" t="str">
        <f>TRIM(MID(M514,FIND(",",M514,FIND(",",M514)+1)+1,FIND(",",M514,FIND(",",M514,FIND(",",M514)+1)+1)-FIND(",",M514,FIND(",",M514)+1)-1))</f>
        <v>Macerata</v>
      </c>
    </row>
    <row r="515" spans="1:14" x14ac:dyDescent="0.3">
      <c r="A515">
        <v>514</v>
      </c>
      <c r="B515">
        <v>37</v>
      </c>
      <c r="D515" t="s">
        <v>1421</v>
      </c>
      <c r="E515" t="s">
        <v>1421</v>
      </c>
      <c r="F515" t="s">
        <v>22</v>
      </c>
      <c r="G515" t="s">
        <v>22</v>
      </c>
      <c r="J515" t="s">
        <v>1422</v>
      </c>
      <c r="K515">
        <v>43.298902900000002</v>
      </c>
      <c r="L515">
        <v>13.383979500000001</v>
      </c>
      <c r="M515" t="s">
        <v>1423</v>
      </c>
      <c r="N515" t="e">
        <f>TRIM(MID(M515,FIND(",",M515,FIND(",",M515)+1)+1,FIND(",",M515,FIND(",",M515,FIND(",",M515)+1)+1)-FIND(",",M515,FIND(",",M515)+1)-1))</f>
        <v>#VALUE!</v>
      </c>
    </row>
    <row r="516" spans="1:14" x14ac:dyDescent="0.3">
      <c r="A516">
        <v>515</v>
      </c>
      <c r="B516">
        <v>37</v>
      </c>
      <c r="D516" t="s">
        <v>1424</v>
      </c>
      <c r="E516" t="s">
        <v>1424</v>
      </c>
      <c r="F516" t="s">
        <v>22</v>
      </c>
      <c r="G516" t="s">
        <v>22</v>
      </c>
      <c r="J516" t="s">
        <v>1425</v>
      </c>
      <c r="K516">
        <v>43.317260400000002</v>
      </c>
      <c r="L516">
        <v>13.4192632</v>
      </c>
      <c r="M516" t="s">
        <v>1426</v>
      </c>
      <c r="N516" t="str">
        <f>TRIM(MID(M516,FIND(",",M516,FIND(",",M516)+1)+1,FIND(",",M516,FIND(",",M516,FIND(",",M516)+1)+1)-FIND(",",M516,FIND(",",M516)+1)-1))</f>
        <v>Macerata</v>
      </c>
    </row>
    <row r="517" spans="1:14" x14ac:dyDescent="0.3">
      <c r="A517">
        <v>516</v>
      </c>
      <c r="B517">
        <v>37</v>
      </c>
      <c r="D517" t="s">
        <v>1427</v>
      </c>
      <c r="E517" t="s">
        <v>490</v>
      </c>
      <c r="F517">
        <v>271</v>
      </c>
      <c r="G517">
        <v>293</v>
      </c>
      <c r="J517" t="s">
        <v>1428</v>
      </c>
      <c r="K517">
        <v>43.310131900000002</v>
      </c>
      <c r="L517">
        <v>13.436020299999999</v>
      </c>
      <c r="M517" t="s">
        <v>518</v>
      </c>
      <c r="N517" t="str">
        <f>TRIM(MID(M517,FIND(",",M517,FIND(",",M517)+1)+1,FIND(",",M517,FIND(",",M517,FIND(",",M517)+1)+1)-FIND(",",M517,FIND(",",M517)+1)-1))</f>
        <v>Montanello</v>
      </c>
    </row>
    <row r="518" spans="1:14" x14ac:dyDescent="0.3">
      <c r="A518">
        <v>517</v>
      </c>
      <c r="B518">
        <v>37</v>
      </c>
      <c r="D518" t="s">
        <v>1427</v>
      </c>
      <c r="E518" t="s">
        <v>490</v>
      </c>
      <c r="F518">
        <v>218</v>
      </c>
      <c r="G518">
        <v>226</v>
      </c>
      <c r="J518" t="s">
        <v>1429</v>
      </c>
      <c r="K518">
        <v>43.310131900000002</v>
      </c>
      <c r="L518">
        <v>13.436020299999999</v>
      </c>
      <c r="M518" t="s">
        <v>518</v>
      </c>
      <c r="N518" t="str">
        <f>TRIM(MID(M518,FIND(",",M518,FIND(",",M518)+1)+1,FIND(",",M518,FIND(",",M518,FIND(",",M518)+1)+1)-FIND(",",M518,FIND(",",M518)+1)-1))</f>
        <v>Montanello</v>
      </c>
    </row>
    <row r="519" spans="1:14" x14ac:dyDescent="0.3">
      <c r="A519">
        <v>518</v>
      </c>
      <c r="B519">
        <v>37</v>
      </c>
      <c r="D519" t="s">
        <v>1430</v>
      </c>
      <c r="E519" t="s">
        <v>1430</v>
      </c>
      <c r="F519" t="s">
        <v>22</v>
      </c>
      <c r="G519" t="s">
        <v>22</v>
      </c>
      <c r="J519" t="s">
        <v>1431</v>
      </c>
      <c r="K519">
        <v>43.319356300000003</v>
      </c>
      <c r="L519">
        <v>13.426290099999999</v>
      </c>
      <c r="M519" t="s">
        <v>1432</v>
      </c>
      <c r="N519" t="str">
        <f>TRIM(MID(M519,FIND(",",M519,FIND(",",M519)+1)+1,FIND(",",M519,FIND(",",M519,FIND(",",M519)+1)+1)-FIND(",",M519,FIND(",",M519)+1)-1))</f>
        <v>Macerata</v>
      </c>
    </row>
    <row r="520" spans="1:14" x14ac:dyDescent="0.3">
      <c r="A520">
        <v>519</v>
      </c>
      <c r="B520">
        <v>37</v>
      </c>
      <c r="D520" t="s">
        <v>1433</v>
      </c>
      <c r="E520" t="s">
        <v>1433</v>
      </c>
      <c r="F520" t="s">
        <v>22</v>
      </c>
      <c r="G520" t="s">
        <v>22</v>
      </c>
      <c r="J520" t="s">
        <v>1434</v>
      </c>
      <c r="N520" t="e">
        <f>TRIM(MID(M520,FIND(",",M520,FIND(",",M520)+1)+1,FIND(",",M520,FIND(",",M520,FIND(",",M520)+1)+1)-FIND(",",M520,FIND(",",M520)+1)-1))</f>
        <v>#VALUE!</v>
      </c>
    </row>
    <row r="521" spans="1:14" x14ac:dyDescent="0.3">
      <c r="A521">
        <v>520</v>
      </c>
      <c r="B521">
        <v>37</v>
      </c>
      <c r="D521" t="s">
        <v>1435</v>
      </c>
      <c r="E521" t="s">
        <v>1435</v>
      </c>
      <c r="F521" t="s">
        <v>22</v>
      </c>
      <c r="G521" t="s">
        <v>22</v>
      </c>
      <c r="J521" t="s">
        <v>1436</v>
      </c>
      <c r="N521" t="e">
        <f>TRIM(MID(M521,FIND(",",M521,FIND(",",M521)+1)+1,FIND(",",M521,FIND(",",M521,FIND(",",M521)+1)+1)-FIND(",",M521,FIND(",",M521)+1)-1))</f>
        <v>#VALUE!</v>
      </c>
    </row>
    <row r="522" spans="1:14" x14ac:dyDescent="0.3">
      <c r="A522">
        <v>521</v>
      </c>
      <c r="B522">
        <v>37</v>
      </c>
      <c r="D522" t="s">
        <v>1437</v>
      </c>
      <c r="E522" t="s">
        <v>1437</v>
      </c>
      <c r="F522" t="s">
        <v>22</v>
      </c>
      <c r="G522" t="s">
        <v>22</v>
      </c>
      <c r="J522" t="s">
        <v>1438</v>
      </c>
      <c r="K522">
        <v>43.3203095</v>
      </c>
      <c r="L522">
        <v>13.4266533</v>
      </c>
      <c r="M522" t="s">
        <v>1439</v>
      </c>
      <c r="N522" t="str">
        <f>TRIM(MID(M522,FIND(",",M522,FIND(",",M522)+1)+1,FIND(",",M522,FIND(",",M522,FIND(",",M522)+1)+1)-FIND(",",M522,FIND(",",M522)+1)-1))</f>
        <v>Macerata</v>
      </c>
    </row>
    <row r="523" spans="1:14" x14ac:dyDescent="0.3">
      <c r="A523">
        <v>522</v>
      </c>
      <c r="B523">
        <v>37</v>
      </c>
      <c r="D523" t="s">
        <v>1440</v>
      </c>
      <c r="E523" t="s">
        <v>1441</v>
      </c>
      <c r="F523">
        <v>4</v>
      </c>
      <c r="G523">
        <v>192</v>
      </c>
      <c r="J523" t="s">
        <v>1442</v>
      </c>
      <c r="K523">
        <v>43.3184568</v>
      </c>
      <c r="L523">
        <v>13.4242253</v>
      </c>
      <c r="M523" t="s">
        <v>1443</v>
      </c>
      <c r="N523" t="str">
        <f>TRIM(MID(M523,FIND(",",M523,FIND(",",M523)+1)+1,FIND(",",M523,FIND(",",M523,FIND(",",M523)+1)+1)-FIND(",",M523,FIND(",",M523)+1)-1))</f>
        <v>Macerata</v>
      </c>
    </row>
    <row r="524" spans="1:14" x14ac:dyDescent="0.3">
      <c r="A524">
        <v>523</v>
      </c>
      <c r="B524">
        <v>37</v>
      </c>
      <c r="D524" t="s">
        <v>1444</v>
      </c>
      <c r="E524" t="s">
        <v>500</v>
      </c>
      <c r="F524">
        <v>283</v>
      </c>
      <c r="G524">
        <v>285</v>
      </c>
      <c r="J524" t="s">
        <v>1445</v>
      </c>
      <c r="K524">
        <v>43.3057613</v>
      </c>
      <c r="L524">
        <v>13.417805700000001</v>
      </c>
      <c r="M524" t="s">
        <v>504</v>
      </c>
      <c r="N524" t="str">
        <f>TRIM(MID(M524,FIND(",",M524,FIND(",",M524)+1)+1,FIND(",",M524,FIND(",",M524,FIND(",",M524)+1)+1)-FIND(",",M524,FIND(",",M524)+1)-1))</f>
        <v>Macerata</v>
      </c>
    </row>
    <row r="525" spans="1:14" x14ac:dyDescent="0.3">
      <c r="A525">
        <v>524</v>
      </c>
      <c r="B525">
        <v>37</v>
      </c>
      <c r="D525" t="s">
        <v>1444</v>
      </c>
      <c r="E525" t="s">
        <v>500</v>
      </c>
      <c r="F525">
        <v>144</v>
      </c>
      <c r="G525">
        <v>156</v>
      </c>
      <c r="J525" t="s">
        <v>1446</v>
      </c>
      <c r="K525">
        <v>43.3057613</v>
      </c>
      <c r="L525">
        <v>13.417805700000001</v>
      </c>
      <c r="M525" t="s">
        <v>504</v>
      </c>
      <c r="N525" t="str">
        <f>TRIM(MID(M525,FIND(",",M525,FIND(",",M525)+1)+1,FIND(",",M525,FIND(",",M525,FIND(",",M525)+1)+1)-FIND(",",M525,FIND(",",M525)+1)-1))</f>
        <v>Macerata</v>
      </c>
    </row>
    <row r="526" spans="1:14" x14ac:dyDescent="0.3">
      <c r="A526">
        <v>525</v>
      </c>
      <c r="B526">
        <v>37</v>
      </c>
      <c r="D526" t="s">
        <v>1447</v>
      </c>
      <c r="E526" t="s">
        <v>1447</v>
      </c>
      <c r="F526" t="s">
        <v>22</v>
      </c>
      <c r="G526" t="s">
        <v>22</v>
      </c>
      <c r="J526" t="s">
        <v>1448</v>
      </c>
      <c r="K526">
        <v>43.3219371</v>
      </c>
      <c r="L526">
        <v>13.426387200000001</v>
      </c>
      <c r="M526" t="s">
        <v>1449</v>
      </c>
      <c r="N526" t="str">
        <f>TRIM(MID(M526,FIND(",",M526,FIND(",",M526)+1)+1,FIND(",",M526,FIND(",",M526,FIND(",",M526)+1)+1)-FIND(",",M526,FIND(",",M526)+1)-1))</f>
        <v>Macerata</v>
      </c>
    </row>
    <row r="527" spans="1:14" x14ac:dyDescent="0.3">
      <c r="A527">
        <v>526</v>
      </c>
      <c r="B527">
        <v>37</v>
      </c>
      <c r="D527" t="s">
        <v>1450</v>
      </c>
      <c r="E527" t="s">
        <v>1450</v>
      </c>
      <c r="F527" t="s">
        <v>22</v>
      </c>
      <c r="G527" t="s">
        <v>22</v>
      </c>
      <c r="J527" t="s">
        <v>1451</v>
      </c>
      <c r="K527">
        <v>43.321700300000003</v>
      </c>
      <c r="L527">
        <v>13.426414100000001</v>
      </c>
      <c r="M527" t="s">
        <v>1452</v>
      </c>
      <c r="N527" t="str">
        <f>TRIM(MID(M527,FIND(",",M527,FIND(",",M527)+1)+1,FIND(",",M527,FIND(",",M527,FIND(",",M527)+1)+1)-FIND(",",M527,FIND(",",M527)+1)-1))</f>
        <v>Macerata</v>
      </c>
    </row>
    <row r="528" spans="1:14" x14ac:dyDescent="0.3">
      <c r="A528">
        <v>527</v>
      </c>
      <c r="B528">
        <v>38</v>
      </c>
      <c r="D528" t="s">
        <v>1453</v>
      </c>
      <c r="E528" t="s">
        <v>1409</v>
      </c>
      <c r="F528">
        <v>102</v>
      </c>
      <c r="G528">
        <v>226</v>
      </c>
      <c r="J528" t="s">
        <v>1454</v>
      </c>
      <c r="K528">
        <v>43.325066399999997</v>
      </c>
      <c r="L528">
        <v>13.4263931</v>
      </c>
      <c r="M528" t="s">
        <v>1411</v>
      </c>
      <c r="N528" t="str">
        <f>TRIM(MID(M528,FIND(",",M528,FIND(",",M528)+1)+1,FIND(",",M528,FIND(",",M528,FIND(",",M528)+1)+1)-FIND(",",M528,FIND(",",M528)+1)-1))</f>
        <v>Macerata</v>
      </c>
    </row>
    <row r="529" spans="1:14" x14ac:dyDescent="0.3">
      <c r="A529">
        <v>528</v>
      </c>
      <c r="B529">
        <v>38</v>
      </c>
      <c r="D529" t="s">
        <v>1455</v>
      </c>
      <c r="E529" t="s">
        <v>1455</v>
      </c>
      <c r="F529" t="s">
        <v>22</v>
      </c>
      <c r="G529" t="s">
        <v>22</v>
      </c>
      <c r="J529" t="s">
        <v>1456</v>
      </c>
      <c r="K529">
        <v>43.319270699999997</v>
      </c>
      <c r="L529">
        <v>13.4210951</v>
      </c>
      <c r="M529" t="s">
        <v>1457</v>
      </c>
      <c r="N529" t="str">
        <f>TRIM(MID(M529,FIND(",",M529,FIND(",",M529)+1)+1,FIND(",",M529,FIND(",",M529,FIND(",",M529)+1)+1)-FIND(",",M529,FIND(",",M529)+1)-1))</f>
        <v>Macerata</v>
      </c>
    </row>
    <row r="530" spans="1:14" x14ac:dyDescent="0.3">
      <c r="A530">
        <v>529</v>
      </c>
      <c r="B530">
        <v>38</v>
      </c>
      <c r="D530" t="s">
        <v>1458</v>
      </c>
      <c r="E530" t="s">
        <v>1458</v>
      </c>
      <c r="F530" t="s">
        <v>22</v>
      </c>
      <c r="G530" t="s">
        <v>22</v>
      </c>
      <c r="J530" t="s">
        <v>1459</v>
      </c>
      <c r="K530">
        <v>43.324030499999999</v>
      </c>
      <c r="L530">
        <v>13.425387499999999</v>
      </c>
      <c r="M530" t="s">
        <v>1460</v>
      </c>
      <c r="N530" t="str">
        <f>TRIM(MID(M530,FIND(",",M530,FIND(",",M530)+1)+1,FIND(",",M530,FIND(",",M530,FIND(",",M530)+1)+1)-FIND(",",M530,FIND(",",M530)+1)-1))</f>
        <v>Macerata</v>
      </c>
    </row>
    <row r="531" spans="1:14" x14ac:dyDescent="0.3">
      <c r="A531">
        <v>530</v>
      </c>
      <c r="B531">
        <v>38</v>
      </c>
      <c r="D531" t="s">
        <v>1461</v>
      </c>
      <c r="E531" t="s">
        <v>1461</v>
      </c>
      <c r="F531" t="s">
        <v>22</v>
      </c>
      <c r="G531" t="s">
        <v>22</v>
      </c>
      <c r="J531" t="s">
        <v>1462</v>
      </c>
      <c r="K531">
        <v>43.316942300000001</v>
      </c>
      <c r="L531">
        <v>13.421505099999999</v>
      </c>
      <c r="M531" t="s">
        <v>1463</v>
      </c>
      <c r="N531" t="str">
        <f>TRIM(MID(M531,FIND(",",M531,FIND(",",M531)+1)+1,FIND(",",M531,FIND(",",M531,FIND(",",M531)+1)+1)-FIND(",",M531,FIND(",",M531)+1)-1))</f>
        <v>Macerata</v>
      </c>
    </row>
    <row r="532" spans="1:14" x14ac:dyDescent="0.3">
      <c r="A532">
        <v>531</v>
      </c>
      <c r="B532">
        <v>38</v>
      </c>
      <c r="D532" t="s">
        <v>1464</v>
      </c>
      <c r="E532" t="s">
        <v>107</v>
      </c>
      <c r="F532">
        <v>3</v>
      </c>
      <c r="G532">
        <v>3</v>
      </c>
      <c r="J532" t="s">
        <v>1465</v>
      </c>
      <c r="K532">
        <v>43.4090129</v>
      </c>
      <c r="L532">
        <v>13.4318027</v>
      </c>
      <c r="M532" t="s">
        <v>1466</v>
      </c>
      <c r="N532" t="str">
        <f>TRIM(MID(M532,FIND(",",M532,FIND(",",M532)+1)+1,FIND(",",M532,FIND(",",M532,FIND(",",M532)+1)+1)-FIND(",",M532,FIND(",",M532)+1)-1))</f>
        <v>Contrada Paganuccia</v>
      </c>
    </row>
    <row r="533" spans="1:14" x14ac:dyDescent="0.3">
      <c r="A533">
        <v>532</v>
      </c>
      <c r="B533">
        <v>38</v>
      </c>
      <c r="D533" t="s">
        <v>1467</v>
      </c>
      <c r="E533" t="s">
        <v>1467</v>
      </c>
      <c r="F533" t="s">
        <v>22</v>
      </c>
      <c r="G533" t="s">
        <v>22</v>
      </c>
      <c r="J533" t="s">
        <v>1468</v>
      </c>
      <c r="K533">
        <v>43.320740000000001</v>
      </c>
      <c r="L533">
        <v>13.421588699999999</v>
      </c>
      <c r="M533" t="s">
        <v>1469</v>
      </c>
      <c r="N533" t="str">
        <f>TRIM(MID(M533,FIND(",",M533,FIND(",",M533)+1)+1,FIND(",",M533,FIND(",",M533,FIND(",",M533)+1)+1)-FIND(",",M533,FIND(",",M533)+1)-1))</f>
        <v>Macerata</v>
      </c>
    </row>
    <row r="534" spans="1:14" x14ac:dyDescent="0.3">
      <c r="A534">
        <v>533</v>
      </c>
      <c r="B534">
        <v>38</v>
      </c>
      <c r="D534" t="s">
        <v>1470</v>
      </c>
      <c r="E534" t="s">
        <v>1441</v>
      </c>
      <c r="F534">
        <v>1</v>
      </c>
      <c r="G534">
        <v>175</v>
      </c>
      <c r="J534" t="s">
        <v>1471</v>
      </c>
      <c r="K534">
        <v>43.3184568</v>
      </c>
      <c r="L534">
        <v>13.4242253</v>
      </c>
      <c r="M534" t="s">
        <v>1443</v>
      </c>
      <c r="N534" t="str">
        <f>TRIM(MID(M534,FIND(",",M534,FIND(",",M534)+1)+1,FIND(",",M534,FIND(",",M534,FIND(",",M534)+1)+1)-FIND(",",M534,FIND(",",M534)+1)-1))</f>
        <v>Macerata</v>
      </c>
    </row>
    <row r="535" spans="1:14" x14ac:dyDescent="0.3">
      <c r="A535">
        <v>534</v>
      </c>
      <c r="B535">
        <v>39</v>
      </c>
      <c r="D535" t="s">
        <v>1472</v>
      </c>
      <c r="E535" t="s">
        <v>1409</v>
      </c>
      <c r="F535">
        <v>39</v>
      </c>
      <c r="G535">
        <v>187</v>
      </c>
      <c r="J535" t="s">
        <v>1473</v>
      </c>
      <c r="K535">
        <v>43.325066399999997</v>
      </c>
      <c r="L535">
        <v>13.4263931</v>
      </c>
      <c r="M535" t="s">
        <v>1411</v>
      </c>
      <c r="N535" t="str">
        <f>TRIM(MID(M535,FIND(",",M535,FIND(",",M535)+1)+1,FIND(",",M535,FIND(",",M535,FIND(",",M535)+1)+1)-FIND(",",M535,FIND(",",M535)+1)-1))</f>
        <v>Macerata</v>
      </c>
    </row>
    <row r="536" spans="1:14" x14ac:dyDescent="0.3">
      <c r="A536">
        <v>535</v>
      </c>
      <c r="B536">
        <v>39</v>
      </c>
      <c r="D536" t="s">
        <v>1472</v>
      </c>
      <c r="E536" t="s">
        <v>1409</v>
      </c>
      <c r="F536">
        <v>228</v>
      </c>
      <c r="G536">
        <v>268</v>
      </c>
      <c r="J536" t="s">
        <v>1474</v>
      </c>
      <c r="K536">
        <v>43.325119100000002</v>
      </c>
      <c r="L536">
        <v>13.4263712</v>
      </c>
      <c r="M536" t="s">
        <v>1475</v>
      </c>
      <c r="N536" t="str">
        <f>TRIM(MID(M536,FIND(",",M536,FIND(",",M536)+1)+1,FIND(",",M536,FIND(",",M536,FIND(",",M536)+1)+1)-FIND(",",M536,FIND(",",M536)+1)-1))</f>
        <v>Villa Potenza</v>
      </c>
    </row>
    <row r="537" spans="1:14" x14ac:dyDescent="0.3">
      <c r="A537">
        <v>536</v>
      </c>
      <c r="B537">
        <v>39</v>
      </c>
      <c r="D537" t="s">
        <v>1476</v>
      </c>
      <c r="E537" t="s">
        <v>1476</v>
      </c>
      <c r="F537" t="s">
        <v>22</v>
      </c>
      <c r="G537" t="s">
        <v>22</v>
      </c>
      <c r="J537" t="s">
        <v>1477</v>
      </c>
      <c r="N537" t="e">
        <f>TRIM(MID(M537,FIND(",",M537,FIND(",",M537)+1)+1,FIND(",",M537,FIND(",",M537,FIND(",",M537)+1)+1)-FIND(",",M537,FIND(",",M537)+1)-1))</f>
        <v>#VALUE!</v>
      </c>
    </row>
    <row r="538" spans="1:14" x14ac:dyDescent="0.3">
      <c r="A538">
        <v>537</v>
      </c>
      <c r="B538">
        <v>39</v>
      </c>
      <c r="D538" t="s">
        <v>1478</v>
      </c>
      <c r="E538" t="s">
        <v>1478</v>
      </c>
      <c r="F538" t="s">
        <v>22</v>
      </c>
      <c r="G538" t="s">
        <v>22</v>
      </c>
      <c r="J538" t="s">
        <v>1479</v>
      </c>
      <c r="K538">
        <v>43.343342700000001</v>
      </c>
      <c r="L538">
        <v>13.4105135</v>
      </c>
      <c r="M538" t="s">
        <v>1480</v>
      </c>
      <c r="N538" t="str">
        <f>TRIM(MID(M538,FIND(",",M538,FIND(",",M538)+1)+1,FIND(",",M538,FIND(",",M538,FIND(",",M538)+1)+1)-FIND(",",M538,FIND(",",M538)+1)-1))</f>
        <v>Cimarella</v>
      </c>
    </row>
    <row r="539" spans="1:14" x14ac:dyDescent="0.3">
      <c r="A539">
        <v>538</v>
      </c>
      <c r="B539">
        <v>39</v>
      </c>
      <c r="D539" t="s">
        <v>1481</v>
      </c>
      <c r="E539" t="s">
        <v>1481</v>
      </c>
      <c r="F539" t="s">
        <v>22</v>
      </c>
      <c r="G539" t="s">
        <v>22</v>
      </c>
      <c r="J539" t="s">
        <v>1482</v>
      </c>
      <c r="K539">
        <v>43.376850099999999</v>
      </c>
      <c r="L539">
        <v>13.600537599999999</v>
      </c>
      <c r="M539" t="s">
        <v>1483</v>
      </c>
      <c r="N539" t="str">
        <f>TRIM(MID(M539,FIND(",",M539,FIND(",",M539)+1)+1,FIND(",",M539,FIND(",",M539,FIND(",",M539)+1)+1)-FIND(",",M539,FIND(",",M539)+1)-1))</f>
        <v>Marolino</v>
      </c>
    </row>
    <row r="540" spans="1:14" x14ac:dyDescent="0.3">
      <c r="A540">
        <v>539</v>
      </c>
      <c r="B540">
        <v>39</v>
      </c>
      <c r="D540" t="s">
        <v>1484</v>
      </c>
      <c r="E540" t="s">
        <v>1417</v>
      </c>
      <c r="F540">
        <v>3</v>
      </c>
      <c r="G540">
        <v>33</v>
      </c>
      <c r="J540" t="s">
        <v>1485</v>
      </c>
      <c r="K540">
        <v>43.3917328</v>
      </c>
      <c r="L540">
        <v>13.6245002</v>
      </c>
      <c r="M540" t="s">
        <v>1419</v>
      </c>
      <c r="N540" t="str">
        <f>TRIM(MID(M540,FIND(",",M540,FIND(",",M540)+1)+1,FIND(",",M540,FIND(",",M540,FIND(",",M540)+1)+1)-FIND(",",M540,FIND(",",M540)+1)-1))</f>
        <v>Macerata</v>
      </c>
    </row>
    <row r="541" spans="1:14" x14ac:dyDescent="0.3">
      <c r="A541">
        <v>540</v>
      </c>
      <c r="B541">
        <v>39</v>
      </c>
      <c r="D541" t="s">
        <v>1484</v>
      </c>
      <c r="E541" t="s">
        <v>1417</v>
      </c>
      <c r="F541">
        <v>4</v>
      </c>
      <c r="G541">
        <v>32</v>
      </c>
      <c r="J541" t="s">
        <v>1486</v>
      </c>
      <c r="K541">
        <v>43.3917328</v>
      </c>
      <c r="L541">
        <v>13.6245002</v>
      </c>
      <c r="M541" t="s">
        <v>1419</v>
      </c>
      <c r="N541" t="str">
        <f>TRIM(MID(M541,FIND(",",M541,FIND(",",M541)+1)+1,FIND(",",M541,FIND(",",M541,FIND(",",M541)+1)+1)-FIND(",",M541,FIND(",",M541)+1)-1))</f>
        <v>Macerata</v>
      </c>
    </row>
    <row r="542" spans="1:14" x14ac:dyDescent="0.3">
      <c r="A542">
        <v>541</v>
      </c>
      <c r="B542">
        <v>39</v>
      </c>
      <c r="D542" t="s">
        <v>1487</v>
      </c>
      <c r="E542" t="s">
        <v>1487</v>
      </c>
      <c r="F542" t="s">
        <v>22</v>
      </c>
      <c r="G542" t="s">
        <v>22</v>
      </c>
      <c r="J542" t="s">
        <v>1488</v>
      </c>
      <c r="K542">
        <v>43.322959099999999</v>
      </c>
      <c r="L542">
        <v>13.384617499999999</v>
      </c>
      <c r="M542" t="s">
        <v>1489</v>
      </c>
      <c r="N542" t="str">
        <f>TRIM(MID(M542,FIND(",",M542,FIND(",",M542)+1)+1,FIND(",",M542,FIND(",",M542,FIND(",",M542)+1)+1)-FIND(",",M542,FIND(",",M542)+1)-1))</f>
        <v>Macerata</v>
      </c>
    </row>
    <row r="543" spans="1:14" x14ac:dyDescent="0.3">
      <c r="A543">
        <v>542</v>
      </c>
      <c r="B543">
        <v>39</v>
      </c>
      <c r="D543" t="s">
        <v>1490</v>
      </c>
      <c r="E543" t="s">
        <v>1490</v>
      </c>
      <c r="F543" t="s">
        <v>22</v>
      </c>
      <c r="G543" t="s">
        <v>22</v>
      </c>
      <c r="J543" t="s">
        <v>1491</v>
      </c>
      <c r="K543">
        <v>43.329959100000004</v>
      </c>
      <c r="L543">
        <v>13.4245921</v>
      </c>
      <c r="M543" t="s">
        <v>1492</v>
      </c>
      <c r="N543" t="str">
        <f>TRIM(MID(M543,FIND(",",M543,FIND(",",M543)+1)+1,FIND(",",M543,FIND(",",M543,FIND(",",M543)+1)+1)-FIND(",",M543,FIND(",",M543)+1)-1))</f>
        <v>Macerata</v>
      </c>
    </row>
    <row r="544" spans="1:14" x14ac:dyDescent="0.3">
      <c r="A544">
        <v>543</v>
      </c>
      <c r="B544">
        <v>39</v>
      </c>
      <c r="D544" t="s">
        <v>1493</v>
      </c>
      <c r="E544" t="s">
        <v>1493</v>
      </c>
      <c r="F544" t="s">
        <v>22</v>
      </c>
      <c r="G544" t="s">
        <v>22</v>
      </c>
      <c r="J544" t="s">
        <v>1494</v>
      </c>
      <c r="N544" t="e">
        <f>TRIM(MID(M544,FIND(",",M544,FIND(",",M544)+1)+1,FIND(",",M544,FIND(",",M544,FIND(",",M544)+1)+1)-FIND(",",M544,FIND(",",M544)+1)-1))</f>
        <v>#VALUE!</v>
      </c>
    </row>
    <row r="545" spans="1:14" x14ac:dyDescent="0.3">
      <c r="A545">
        <v>544</v>
      </c>
      <c r="B545">
        <v>39</v>
      </c>
      <c r="D545" t="s">
        <v>1495</v>
      </c>
      <c r="E545" t="s">
        <v>1495</v>
      </c>
      <c r="F545" t="s">
        <v>22</v>
      </c>
      <c r="G545" t="s">
        <v>22</v>
      </c>
      <c r="J545" t="s">
        <v>1496</v>
      </c>
      <c r="K545">
        <v>43.323768999999999</v>
      </c>
      <c r="L545">
        <v>13.416092799999999</v>
      </c>
      <c r="M545" t="s">
        <v>1497</v>
      </c>
      <c r="N545" t="str">
        <f>TRIM(MID(M545,FIND(",",M545,FIND(",",M545)+1)+1,FIND(",",M545,FIND(",",M545,FIND(",",M545)+1)+1)-FIND(",",M545,FIND(",",M545)+1)-1))</f>
        <v>Macerata</v>
      </c>
    </row>
    <row r="546" spans="1:14" x14ac:dyDescent="0.3">
      <c r="A546">
        <v>545</v>
      </c>
      <c r="B546">
        <v>39</v>
      </c>
      <c r="D546" t="s">
        <v>1498</v>
      </c>
      <c r="E546" t="s">
        <v>1498</v>
      </c>
      <c r="F546" t="s">
        <v>22</v>
      </c>
      <c r="G546" t="s">
        <v>22</v>
      </c>
      <c r="J546" t="s">
        <v>1499</v>
      </c>
      <c r="K546">
        <v>43.1448447</v>
      </c>
      <c r="L546">
        <v>13.071284</v>
      </c>
      <c r="M546" t="s">
        <v>1500</v>
      </c>
      <c r="N546" t="str">
        <f>TRIM(MID(M546,FIND(",",M546,FIND(",",M546)+1)+1,FIND(",",M546,FIND(",",M546,FIND(",",M546)+1)+1)-FIND(",",M546,FIND(",",M546)+1)-1))</f>
        <v>Macerata</v>
      </c>
    </row>
    <row r="547" spans="1:14" x14ac:dyDescent="0.3">
      <c r="A547">
        <v>546</v>
      </c>
      <c r="B547">
        <v>39</v>
      </c>
      <c r="D547" t="s">
        <v>1501</v>
      </c>
      <c r="E547" t="s">
        <v>1501</v>
      </c>
      <c r="F547" t="s">
        <v>22</v>
      </c>
      <c r="G547" t="s">
        <v>22</v>
      </c>
      <c r="J547" t="s">
        <v>1502</v>
      </c>
      <c r="K547">
        <v>43.328389399999999</v>
      </c>
      <c r="L547">
        <v>13.4242116</v>
      </c>
      <c r="M547" t="s">
        <v>1503</v>
      </c>
      <c r="N547" t="str">
        <f>TRIM(MID(M547,FIND(",",M547,FIND(",",M547)+1)+1,FIND(",",M547,FIND(",",M547,FIND(",",M547)+1)+1)-FIND(",",M547,FIND(",",M547)+1)-1))</f>
        <v>Macerata</v>
      </c>
    </row>
    <row r="548" spans="1:14" x14ac:dyDescent="0.3">
      <c r="A548">
        <v>547</v>
      </c>
      <c r="B548">
        <v>40</v>
      </c>
      <c r="D548" t="s">
        <v>1504</v>
      </c>
      <c r="E548" t="s">
        <v>1505</v>
      </c>
      <c r="F548">
        <v>1</v>
      </c>
      <c r="G548">
        <v>301</v>
      </c>
      <c r="J548" t="s">
        <v>1506</v>
      </c>
      <c r="K548">
        <v>43.258801300000002</v>
      </c>
      <c r="L548">
        <v>13.4214497</v>
      </c>
      <c r="M548" t="s">
        <v>1507</v>
      </c>
      <c r="N548" t="str">
        <f>TRIM(MID(M548,FIND(",",M548,FIND(",",M548)+1)+1,FIND(",",M548,FIND(",",M548,FIND(",",M548)+1)+1)-FIND(",",M548,FIND(",",M548)+1)-1))</f>
        <v>Borgo Sforzacosta</v>
      </c>
    </row>
    <row r="549" spans="1:14" x14ac:dyDescent="0.3">
      <c r="A549">
        <v>548</v>
      </c>
      <c r="B549">
        <v>40</v>
      </c>
      <c r="D549" t="s">
        <v>1504</v>
      </c>
      <c r="E549" t="s">
        <v>1505</v>
      </c>
      <c r="F549">
        <v>92</v>
      </c>
      <c r="G549">
        <v>198</v>
      </c>
      <c r="J549" t="s">
        <v>1508</v>
      </c>
      <c r="K549">
        <v>43.2557483</v>
      </c>
      <c r="L549">
        <v>13.414703100000001</v>
      </c>
      <c r="M549" t="s">
        <v>1509</v>
      </c>
      <c r="N549" t="str">
        <f>TRIM(MID(M549,FIND(",",M549,FIND(",",M549)+1)+1,FIND(",",M549,FIND(",",M549,FIND(",",M549)+1)+1)-FIND(",",M549,FIND(",",M549)+1)-1))</f>
        <v>Macerata</v>
      </c>
    </row>
    <row r="550" spans="1:14" x14ac:dyDescent="0.3">
      <c r="A550">
        <v>549</v>
      </c>
      <c r="B550">
        <v>40</v>
      </c>
      <c r="D550" t="s">
        <v>1510</v>
      </c>
      <c r="E550" t="s">
        <v>1510</v>
      </c>
      <c r="F550" t="s">
        <v>22</v>
      </c>
      <c r="G550" t="s">
        <v>22</v>
      </c>
      <c r="J550" t="s">
        <v>1511</v>
      </c>
      <c r="K550">
        <v>43.266101999999997</v>
      </c>
      <c r="L550">
        <v>13.4047216</v>
      </c>
      <c r="M550" t="s">
        <v>1512</v>
      </c>
      <c r="N550" t="str">
        <f>TRIM(MID(M550,FIND(",",M550,FIND(",",M550)+1)+1,FIND(",",M550,FIND(",",M550,FIND(",",M550)+1)+1)-FIND(",",M550,FIND(",",M550)+1)-1))</f>
        <v>Macerata</v>
      </c>
    </row>
    <row r="551" spans="1:14" x14ac:dyDescent="0.3">
      <c r="A551">
        <v>550</v>
      </c>
      <c r="B551">
        <v>40</v>
      </c>
      <c r="D551" t="s">
        <v>1513</v>
      </c>
      <c r="E551" t="s">
        <v>1513</v>
      </c>
      <c r="F551" t="s">
        <v>22</v>
      </c>
      <c r="G551" t="s">
        <v>22</v>
      </c>
      <c r="J551" t="s">
        <v>1514</v>
      </c>
      <c r="K551">
        <v>43.271399700000003</v>
      </c>
      <c r="L551">
        <v>13.426217299999999</v>
      </c>
      <c r="M551" t="s">
        <v>1515</v>
      </c>
      <c r="N551" t="str">
        <f>TRIM(MID(M551,FIND(",",M551,FIND(",",M551)+1)+1,FIND(",",M551,FIND(",",M551,FIND(",",M551)+1)+1)-FIND(",",M551,FIND(",",M551)+1)-1))</f>
        <v>Sforzacosta</v>
      </c>
    </row>
    <row r="552" spans="1:14" x14ac:dyDescent="0.3">
      <c r="A552">
        <v>551</v>
      </c>
      <c r="B552">
        <v>40</v>
      </c>
      <c r="D552" t="s">
        <v>1516</v>
      </c>
      <c r="E552" t="s">
        <v>1516</v>
      </c>
      <c r="F552" t="s">
        <v>22</v>
      </c>
      <c r="G552" t="s">
        <v>22</v>
      </c>
      <c r="J552" t="s">
        <v>1517</v>
      </c>
      <c r="K552">
        <v>43.257247700000001</v>
      </c>
      <c r="L552">
        <v>13.416880600000001</v>
      </c>
      <c r="M552" t="s">
        <v>1518</v>
      </c>
      <c r="N552" t="str">
        <f>TRIM(MID(M552,FIND(",",M552,FIND(",",M552)+1)+1,FIND(",",M552,FIND(",",M552,FIND(",",M552)+1)+1)-FIND(",",M552,FIND(",",M552)+1)-1))</f>
        <v>Macerata</v>
      </c>
    </row>
    <row r="553" spans="1:14" x14ac:dyDescent="0.3">
      <c r="A553">
        <v>552</v>
      </c>
      <c r="B553">
        <v>40</v>
      </c>
      <c r="D553" t="s">
        <v>1519</v>
      </c>
      <c r="E553" t="s">
        <v>1519</v>
      </c>
      <c r="F553" t="s">
        <v>22</v>
      </c>
      <c r="G553" t="s">
        <v>22</v>
      </c>
      <c r="J553" t="s">
        <v>1520</v>
      </c>
      <c r="K553">
        <v>43.298864100000003</v>
      </c>
      <c r="L553">
        <v>13.455496999999999</v>
      </c>
      <c r="M553" t="s">
        <v>1521</v>
      </c>
      <c r="N553" t="str">
        <f>TRIM(MID(M553,FIND(",",M553,FIND(",",M553)+1)+1,FIND(",",M553,FIND(",",M553,FIND(",",M553)+1)+1)-FIND(",",M553,FIND(",",M553)+1)-1))</f>
        <v>Macerata</v>
      </c>
    </row>
    <row r="554" spans="1:14" x14ac:dyDescent="0.3">
      <c r="A554">
        <v>553</v>
      </c>
      <c r="B554">
        <v>40</v>
      </c>
      <c r="D554" t="s">
        <v>1522</v>
      </c>
      <c r="E554" t="s">
        <v>1522</v>
      </c>
      <c r="F554" t="s">
        <v>22</v>
      </c>
      <c r="G554" t="s">
        <v>22</v>
      </c>
      <c r="J554" t="s">
        <v>1523</v>
      </c>
      <c r="K554">
        <v>43.2547031</v>
      </c>
      <c r="L554">
        <v>13.4150226</v>
      </c>
      <c r="M554" t="s">
        <v>1524</v>
      </c>
      <c r="N554" t="str">
        <f>TRIM(MID(M554,FIND(",",M554,FIND(",",M554)+1)+1,FIND(",",M554,FIND(",",M554,FIND(",",M554)+1)+1)-FIND(",",M554,FIND(",",M554)+1)-1))</f>
        <v>Macerata</v>
      </c>
    </row>
    <row r="555" spans="1:14" x14ac:dyDescent="0.3">
      <c r="A555">
        <v>554</v>
      </c>
      <c r="B555">
        <v>40</v>
      </c>
      <c r="D555" t="s">
        <v>1525</v>
      </c>
      <c r="E555" t="s">
        <v>1526</v>
      </c>
      <c r="F555">
        <v>7</v>
      </c>
      <c r="G555">
        <v>7</v>
      </c>
      <c r="J555" t="s">
        <v>1527</v>
      </c>
      <c r="N555" t="e">
        <f>TRIM(MID(M555,FIND(",",M555,FIND(",",M555)+1)+1,FIND(",",M555,FIND(",",M555,FIND(",",M555)+1)+1)-FIND(",",M555,FIND(",",M555)+1)-1))</f>
        <v>#VALUE!</v>
      </c>
    </row>
    <row r="556" spans="1:14" x14ac:dyDescent="0.3">
      <c r="A556">
        <v>555</v>
      </c>
      <c r="B556">
        <v>40</v>
      </c>
      <c r="D556" t="s">
        <v>1528</v>
      </c>
      <c r="E556" t="s">
        <v>1529</v>
      </c>
      <c r="F556">
        <v>3</v>
      </c>
      <c r="G556">
        <v>51</v>
      </c>
      <c r="J556" t="s">
        <v>1530</v>
      </c>
      <c r="K556">
        <v>43.253863899999999</v>
      </c>
      <c r="L556">
        <v>13.4158404</v>
      </c>
      <c r="M556" t="s">
        <v>1531</v>
      </c>
      <c r="N556" t="str">
        <f>TRIM(MID(M556,FIND(",",M556,FIND(",",M556)+1)+1,FIND(",",M556,FIND(",",M556,FIND(",",M556)+1)+1)-FIND(",",M556,FIND(",",M556)+1)-1))</f>
        <v>Macerata</v>
      </c>
    </row>
    <row r="557" spans="1:14" x14ac:dyDescent="0.3">
      <c r="A557">
        <v>556</v>
      </c>
      <c r="B557">
        <v>40</v>
      </c>
      <c r="D557" t="s">
        <v>1528</v>
      </c>
      <c r="E557" t="s">
        <v>1529</v>
      </c>
      <c r="F557">
        <v>8</v>
      </c>
      <c r="G557">
        <v>10</v>
      </c>
      <c r="J557" t="s">
        <v>1532</v>
      </c>
      <c r="K557">
        <v>43.253863899999999</v>
      </c>
      <c r="L557">
        <v>13.4158404</v>
      </c>
      <c r="M557" t="s">
        <v>1531</v>
      </c>
      <c r="N557" t="str">
        <f>TRIM(MID(M557,FIND(",",M557,FIND(",",M557)+1)+1,FIND(",",M557,FIND(",",M557,FIND(",",M557)+1)+1)-FIND(",",M557,FIND(",",M557)+1)-1))</f>
        <v>Macerata</v>
      </c>
    </row>
    <row r="558" spans="1:14" x14ac:dyDescent="0.3">
      <c r="A558">
        <v>557</v>
      </c>
      <c r="B558">
        <v>40</v>
      </c>
      <c r="D558" t="s">
        <v>1533</v>
      </c>
      <c r="E558" t="s">
        <v>107</v>
      </c>
      <c r="F558">
        <v>13</v>
      </c>
      <c r="G558">
        <v>13</v>
      </c>
      <c r="J558" t="s">
        <v>1534</v>
      </c>
      <c r="K558">
        <v>43.4335308</v>
      </c>
      <c r="L558">
        <v>13.6606603</v>
      </c>
      <c r="M558" t="s">
        <v>782</v>
      </c>
      <c r="N558" t="str">
        <f>TRIM(MID(M558,FIND(",",M558,FIND(",",M558)+1)+1,FIND(",",M558,FIND(",",M558,FIND(",",M558)+1)+1)-FIND(",",M558,FIND(",",M558)+1)-1))</f>
        <v>Macerata</v>
      </c>
    </row>
    <row r="559" spans="1:14" x14ac:dyDescent="0.3">
      <c r="A559">
        <v>558</v>
      </c>
      <c r="B559">
        <v>40</v>
      </c>
      <c r="D559" t="s">
        <v>1535</v>
      </c>
      <c r="E559" t="s">
        <v>1535</v>
      </c>
      <c r="F559" t="s">
        <v>22</v>
      </c>
      <c r="G559" t="s">
        <v>22</v>
      </c>
      <c r="J559" t="s">
        <v>1536</v>
      </c>
      <c r="K559">
        <v>43.254992600000001</v>
      </c>
      <c r="L559">
        <v>13.409594200000001</v>
      </c>
      <c r="M559" t="s">
        <v>1537</v>
      </c>
      <c r="N559" t="str">
        <f>TRIM(MID(M559,FIND(",",M559,FIND(",",M559)+1)+1,FIND(",",M559,FIND(",",M559,FIND(",",M559)+1)+1)-FIND(",",M559,FIND(",",M559)+1)-1))</f>
        <v>Macerata</v>
      </c>
    </row>
    <row r="560" spans="1:14" x14ac:dyDescent="0.3">
      <c r="A560">
        <v>559</v>
      </c>
      <c r="B560">
        <v>40</v>
      </c>
      <c r="D560" t="s">
        <v>1538</v>
      </c>
      <c r="E560" t="s">
        <v>1538</v>
      </c>
      <c r="F560" t="s">
        <v>22</v>
      </c>
      <c r="G560" t="s">
        <v>22</v>
      </c>
      <c r="J560" t="s">
        <v>1539</v>
      </c>
      <c r="N560" t="e">
        <f>TRIM(MID(M560,FIND(",",M560,FIND(",",M560)+1)+1,FIND(",",M560,FIND(",",M560,FIND(",",M560)+1)+1)-FIND(",",M560,FIND(",",M560)+1)-1))</f>
        <v>#VALUE!</v>
      </c>
    </row>
    <row r="561" spans="1:14" x14ac:dyDescent="0.3">
      <c r="A561">
        <v>560</v>
      </c>
      <c r="B561">
        <v>40</v>
      </c>
      <c r="D561" t="s">
        <v>1540</v>
      </c>
      <c r="E561" t="s">
        <v>1540</v>
      </c>
      <c r="F561" t="s">
        <v>22</v>
      </c>
      <c r="G561" t="s">
        <v>22</v>
      </c>
      <c r="J561" t="s">
        <v>1541</v>
      </c>
      <c r="K561">
        <v>43.254874800000003</v>
      </c>
      <c r="L561">
        <v>13.4159422</v>
      </c>
      <c r="M561" t="s">
        <v>1542</v>
      </c>
      <c r="N561" t="str">
        <f>TRIM(MID(M561,FIND(",",M561,FIND(",",M561)+1)+1,FIND(",",M561,FIND(",",M561,FIND(",",M561)+1)+1)-FIND(",",M561,FIND(",",M561)+1)-1))</f>
        <v>Macerata</v>
      </c>
    </row>
    <row r="562" spans="1:14" x14ac:dyDescent="0.3">
      <c r="A562">
        <v>561</v>
      </c>
      <c r="B562">
        <v>40</v>
      </c>
      <c r="D562" t="s">
        <v>1543</v>
      </c>
      <c r="E562" t="s">
        <v>1543</v>
      </c>
      <c r="F562" t="s">
        <v>22</v>
      </c>
      <c r="G562" t="s">
        <v>22</v>
      </c>
      <c r="J562" t="s">
        <v>1544</v>
      </c>
      <c r="K562">
        <v>43.255225500000002</v>
      </c>
      <c r="L562">
        <v>13.4123825</v>
      </c>
      <c r="M562" t="s">
        <v>1545</v>
      </c>
      <c r="N562" t="str">
        <f>TRIM(MID(M562,FIND(",",M562,FIND(",",M562)+1)+1,FIND(",",M562,FIND(",",M562,FIND(",",M562)+1)+1)-FIND(",",M562,FIND(",",M562)+1)-1))</f>
        <v>Macerata</v>
      </c>
    </row>
    <row r="563" spans="1:14" x14ac:dyDescent="0.3">
      <c r="A563">
        <v>562</v>
      </c>
      <c r="B563">
        <v>41</v>
      </c>
      <c r="D563" t="s">
        <v>1546</v>
      </c>
      <c r="E563" t="s">
        <v>1505</v>
      </c>
      <c r="F563">
        <v>8</v>
      </c>
      <c r="G563">
        <v>82</v>
      </c>
      <c r="J563" t="s">
        <v>1547</v>
      </c>
      <c r="K563">
        <v>43.255945799999999</v>
      </c>
      <c r="L563">
        <v>13.4151729</v>
      </c>
      <c r="M563" t="s">
        <v>1509</v>
      </c>
      <c r="N563" t="str">
        <f>TRIM(MID(M563,FIND(",",M563,FIND(",",M563)+1)+1,FIND(",",M563,FIND(",",M563,FIND(",",M563)+1)+1)-FIND(",",M563,FIND(",",M563)+1)-1))</f>
        <v>Macerata</v>
      </c>
    </row>
    <row r="564" spans="1:14" x14ac:dyDescent="0.3">
      <c r="A564">
        <v>563</v>
      </c>
      <c r="B564">
        <v>41</v>
      </c>
      <c r="D564" t="s">
        <v>1548</v>
      </c>
      <c r="E564" t="s">
        <v>1549</v>
      </c>
      <c r="F564">
        <v>1</v>
      </c>
      <c r="G564">
        <v>21</v>
      </c>
      <c r="J564" t="s">
        <v>1550</v>
      </c>
      <c r="K564">
        <v>43.268481700000002</v>
      </c>
      <c r="L564">
        <v>13.451358300000001</v>
      </c>
      <c r="M564" t="s">
        <v>1551</v>
      </c>
      <c r="N564" t="str">
        <f>TRIM(MID(M564,FIND(",",M564,FIND(",",M564)+1)+1,FIND(",",M564,FIND(",",M564,FIND(",",M564)+1)+1)-FIND(",",M564,FIND(",",M564)+1)-1))</f>
        <v>Macerata</v>
      </c>
    </row>
    <row r="565" spans="1:14" x14ac:dyDescent="0.3">
      <c r="A565">
        <v>564</v>
      </c>
      <c r="B565">
        <v>41</v>
      </c>
      <c r="D565" t="s">
        <v>1548</v>
      </c>
      <c r="E565" t="s">
        <v>1549</v>
      </c>
      <c r="F565">
        <v>2</v>
      </c>
      <c r="G565">
        <v>20</v>
      </c>
      <c r="J565" t="s">
        <v>1552</v>
      </c>
      <c r="K565">
        <v>43.268481700000002</v>
      </c>
      <c r="L565">
        <v>13.451358300000001</v>
      </c>
      <c r="M565" t="s">
        <v>1551</v>
      </c>
      <c r="N565" t="str">
        <f>TRIM(MID(M565,FIND(",",M565,FIND(",",M565)+1)+1,FIND(",",M565,FIND(",",M565,FIND(",",M565)+1)+1)-FIND(",",M565,FIND(",",M565)+1)-1))</f>
        <v>Macerata</v>
      </c>
    </row>
    <row r="566" spans="1:14" x14ac:dyDescent="0.3">
      <c r="A566">
        <v>565</v>
      </c>
      <c r="B566">
        <v>41</v>
      </c>
      <c r="D566" t="s">
        <v>1553</v>
      </c>
      <c r="E566" t="s">
        <v>1553</v>
      </c>
      <c r="F566" t="s">
        <v>22</v>
      </c>
      <c r="G566" t="s">
        <v>22</v>
      </c>
      <c r="J566" t="s">
        <v>1554</v>
      </c>
      <c r="K566">
        <v>43.294500900000003</v>
      </c>
      <c r="L566">
        <v>13.670462199999999</v>
      </c>
      <c r="M566" t="s">
        <v>1555</v>
      </c>
      <c r="N566" t="str">
        <f>TRIM(MID(M566,FIND(",",M566,FIND(",",M566)+1)+1,FIND(",",M566,FIND(",",M566,FIND(",",M566)+1)+1)-FIND(",",M566,FIND(",",M566)+1)-1))</f>
        <v>Macerata</v>
      </c>
    </row>
    <row r="567" spans="1:14" x14ac:dyDescent="0.3">
      <c r="A567">
        <v>566</v>
      </c>
      <c r="B567">
        <v>41</v>
      </c>
      <c r="D567" t="s">
        <v>1556</v>
      </c>
      <c r="E567" t="s">
        <v>1526</v>
      </c>
      <c r="F567">
        <v>9</v>
      </c>
      <c r="G567">
        <v>23</v>
      </c>
      <c r="J567" t="s">
        <v>1557</v>
      </c>
      <c r="N567" t="e">
        <f>TRIM(MID(M567,FIND(",",M567,FIND(",",M567)+1)+1,FIND(",",M567,FIND(",",M567,FIND(",",M567)+1)+1)-FIND(",",M567,FIND(",",M567)+1)-1))</f>
        <v>#VALUE!</v>
      </c>
    </row>
    <row r="568" spans="1:14" x14ac:dyDescent="0.3">
      <c r="A568">
        <v>567</v>
      </c>
      <c r="B568">
        <v>41</v>
      </c>
      <c r="D568" t="s">
        <v>1556</v>
      </c>
      <c r="E568" t="s">
        <v>1526</v>
      </c>
      <c r="F568">
        <v>2</v>
      </c>
      <c r="G568">
        <v>8</v>
      </c>
      <c r="J568" t="s">
        <v>1558</v>
      </c>
      <c r="N568" t="e">
        <f>TRIM(MID(M568,FIND(",",M568,FIND(",",M568)+1)+1,FIND(",",M568,FIND(",",M568,FIND(",",M568)+1)+1)-FIND(",",M568,FIND(",",M568)+1)-1))</f>
        <v>#VALUE!</v>
      </c>
    </row>
    <row r="569" spans="1:14" x14ac:dyDescent="0.3">
      <c r="A569">
        <v>568</v>
      </c>
      <c r="B569">
        <v>41</v>
      </c>
      <c r="D569" t="s">
        <v>1559</v>
      </c>
      <c r="E569" t="s">
        <v>1559</v>
      </c>
      <c r="F569" t="s">
        <v>22</v>
      </c>
      <c r="G569" t="s">
        <v>22</v>
      </c>
      <c r="J569" t="s">
        <v>1560</v>
      </c>
      <c r="K569">
        <v>43.259314500000002</v>
      </c>
      <c r="L569">
        <v>13.433373</v>
      </c>
      <c r="M569" t="s">
        <v>1561</v>
      </c>
      <c r="N569" t="str">
        <f>TRIM(MID(M569,FIND(",",M569,FIND(",",M569)+1)+1,FIND(",",M569,FIND(",",M569,FIND(",",M569)+1)+1)-FIND(",",M569,FIND(",",M569)+1)-1))</f>
        <v>Sforzacosta</v>
      </c>
    </row>
    <row r="570" spans="1:14" x14ac:dyDescent="0.3">
      <c r="A570">
        <v>569</v>
      </c>
      <c r="B570">
        <v>41</v>
      </c>
      <c r="D570" t="s">
        <v>1562</v>
      </c>
      <c r="E570" t="s">
        <v>1562</v>
      </c>
      <c r="F570" t="s">
        <v>22</v>
      </c>
      <c r="G570" t="s">
        <v>22</v>
      </c>
      <c r="J570" t="s">
        <v>1563</v>
      </c>
      <c r="K570">
        <v>43.259728099999997</v>
      </c>
      <c r="L570">
        <v>13.4352836</v>
      </c>
      <c r="M570" t="s">
        <v>1564</v>
      </c>
      <c r="N570" t="str">
        <f>TRIM(MID(M570,FIND(",",M570,FIND(",",M570)+1)+1,FIND(",",M570,FIND(",",M570,FIND(",",M570)+1)+1)-FIND(",",M570,FIND(",",M570)+1)-1))</f>
        <v>Sforzacosta</v>
      </c>
    </row>
    <row r="571" spans="1:14" x14ac:dyDescent="0.3">
      <c r="A571">
        <v>570</v>
      </c>
      <c r="B571">
        <v>41</v>
      </c>
      <c r="D571" t="s">
        <v>1565</v>
      </c>
      <c r="E571" t="s">
        <v>1565</v>
      </c>
      <c r="F571" t="s">
        <v>22</v>
      </c>
      <c r="G571" t="s">
        <v>22</v>
      </c>
      <c r="J571" t="s">
        <v>1566</v>
      </c>
      <c r="K571">
        <v>43.402221300000001</v>
      </c>
      <c r="L571">
        <v>13.556479299999999</v>
      </c>
      <c r="M571" t="s">
        <v>1567</v>
      </c>
      <c r="N571" t="str">
        <f>TRIM(MID(M571,FIND(",",M571,FIND(",",M571)+1)+1,FIND(",",M571,FIND(",",M571,FIND(",",M571)+1)+1)-FIND(",",M571,FIND(",",M571)+1)-1))</f>
        <v>Recanati</v>
      </c>
    </row>
    <row r="572" spans="1:14" x14ac:dyDescent="0.3">
      <c r="A572">
        <v>571</v>
      </c>
      <c r="B572">
        <v>41</v>
      </c>
      <c r="D572" t="s">
        <v>1568</v>
      </c>
      <c r="E572" t="s">
        <v>1568</v>
      </c>
      <c r="F572" t="s">
        <v>22</v>
      </c>
      <c r="G572" t="s">
        <v>22</v>
      </c>
      <c r="J572" t="s">
        <v>1569</v>
      </c>
      <c r="K572">
        <v>43.259000399999998</v>
      </c>
      <c r="L572">
        <v>13.429322900000001</v>
      </c>
      <c r="M572" t="s">
        <v>1570</v>
      </c>
      <c r="N572" t="str">
        <f>TRIM(MID(M572,FIND(",",M572,FIND(",",M572)+1)+1,FIND(",",M572,FIND(",",M572,FIND(",",M572)+1)+1)-FIND(",",M572,FIND(",",M572)+1)-1))</f>
        <v>Sforzacosta</v>
      </c>
    </row>
    <row r="573" spans="1:14" x14ac:dyDescent="0.3">
      <c r="A573">
        <v>572</v>
      </c>
      <c r="B573">
        <v>41</v>
      </c>
      <c r="D573" t="s">
        <v>1571</v>
      </c>
      <c r="E573" t="s">
        <v>1571</v>
      </c>
      <c r="F573" t="s">
        <v>22</v>
      </c>
      <c r="G573" t="s">
        <v>22</v>
      </c>
      <c r="J573" t="s">
        <v>1572</v>
      </c>
      <c r="N573" t="e">
        <f>TRIM(MID(M573,FIND(",",M573,FIND(",",M573)+1)+1,FIND(",",M573,FIND(",",M573,FIND(",",M573)+1)+1)-FIND(",",M573,FIND(",",M573)+1)-1))</f>
        <v>#VALUE!</v>
      </c>
    </row>
    <row r="574" spans="1:14" x14ac:dyDescent="0.3">
      <c r="A574">
        <v>573</v>
      </c>
      <c r="B574">
        <v>41</v>
      </c>
      <c r="D574" t="s">
        <v>1573</v>
      </c>
      <c r="E574" t="s">
        <v>1529</v>
      </c>
      <c r="F574">
        <v>14</v>
      </c>
      <c r="G574">
        <v>60</v>
      </c>
      <c r="J574" t="s">
        <v>1574</v>
      </c>
      <c r="K574">
        <v>43.253863899999999</v>
      </c>
      <c r="L574">
        <v>13.4158404</v>
      </c>
      <c r="M574" t="s">
        <v>1531</v>
      </c>
      <c r="N574" t="str">
        <f>TRIM(MID(M574,FIND(",",M574,FIND(",",M574)+1)+1,FIND(",",M574,FIND(",",M574,FIND(",",M574)+1)+1)-FIND(",",M574,FIND(",",M574)+1)-1))</f>
        <v>Macerata</v>
      </c>
    </row>
    <row r="575" spans="1:14" x14ac:dyDescent="0.3">
      <c r="A575">
        <v>574</v>
      </c>
      <c r="B575">
        <v>41</v>
      </c>
      <c r="D575" t="s">
        <v>1575</v>
      </c>
      <c r="E575" t="s">
        <v>107</v>
      </c>
      <c r="F575">
        <v>29</v>
      </c>
      <c r="G575">
        <v>29</v>
      </c>
      <c r="J575" t="s">
        <v>1576</v>
      </c>
      <c r="K575">
        <v>43.4335308</v>
      </c>
      <c r="L575">
        <v>13.6606603</v>
      </c>
      <c r="M575" t="s">
        <v>782</v>
      </c>
      <c r="N575" t="str">
        <f>TRIM(MID(M575,FIND(",",M575,FIND(",",M575)+1)+1,FIND(",",M575,FIND(",",M575,FIND(",",M575)+1)+1)-FIND(",",M575,FIND(",",M575)+1)-1))</f>
        <v>Macerata</v>
      </c>
    </row>
    <row r="576" spans="1:14" x14ac:dyDescent="0.3">
      <c r="A576">
        <v>575</v>
      </c>
      <c r="B576">
        <v>41</v>
      </c>
      <c r="D576" t="s">
        <v>1577</v>
      </c>
      <c r="E576" t="s">
        <v>1577</v>
      </c>
      <c r="F576" t="s">
        <v>22</v>
      </c>
      <c r="G576" t="s">
        <v>22</v>
      </c>
      <c r="J576" t="s">
        <v>1578</v>
      </c>
      <c r="K576">
        <v>43.255979000000004</v>
      </c>
      <c r="L576">
        <v>13.417840099999999</v>
      </c>
      <c r="M576" t="s">
        <v>1579</v>
      </c>
      <c r="N576" t="str">
        <f>TRIM(MID(M576,FIND(",",M576,FIND(",",M576)+1)+1,FIND(",",M576,FIND(",",M576,FIND(",",M576)+1)+1)-FIND(",",M576,FIND(",",M576)+1)-1))</f>
        <v>Macerata</v>
      </c>
    </row>
    <row r="577" spans="1:14" x14ac:dyDescent="0.3">
      <c r="A577">
        <v>576</v>
      </c>
      <c r="B577">
        <v>42</v>
      </c>
      <c r="D577" t="s">
        <v>1580</v>
      </c>
      <c r="E577" t="s">
        <v>1581</v>
      </c>
      <c r="F577">
        <v>1</v>
      </c>
      <c r="G577">
        <v>55</v>
      </c>
      <c r="J577" t="s">
        <v>1582</v>
      </c>
      <c r="K577">
        <v>43.284091400000001</v>
      </c>
      <c r="L577">
        <v>13.480905699999999</v>
      </c>
      <c r="M577" t="s">
        <v>1583</v>
      </c>
      <c r="N577" t="str">
        <f>TRIM(MID(M577,FIND(",",M577,FIND(",",M577)+1)+1,FIND(",",M577,FIND(",",M577,FIND(",",M577)+1)+1)-FIND(",",M577,FIND(",",M577)+1)-1))</f>
        <v>Peschiera</v>
      </c>
    </row>
    <row r="578" spans="1:14" x14ac:dyDescent="0.3">
      <c r="A578">
        <v>577</v>
      </c>
      <c r="B578">
        <v>42</v>
      </c>
      <c r="D578" t="s">
        <v>1584</v>
      </c>
      <c r="E578" t="s">
        <v>1549</v>
      </c>
      <c r="F578">
        <v>5</v>
      </c>
      <c r="G578">
        <v>35</v>
      </c>
      <c r="J578" t="s">
        <v>1585</v>
      </c>
      <c r="K578">
        <v>43.268481700000002</v>
      </c>
      <c r="L578">
        <v>13.451358300000001</v>
      </c>
      <c r="M578" t="s">
        <v>1551</v>
      </c>
      <c r="N578" t="str">
        <f>TRIM(MID(M578,FIND(",",M578,FIND(",",M578)+1)+1,FIND(",",M578,FIND(",",M578,FIND(",",M578)+1)+1)-FIND(",",M578,FIND(",",M578)+1)-1))</f>
        <v>Macerata</v>
      </c>
    </row>
    <row r="579" spans="1:14" x14ac:dyDescent="0.3">
      <c r="A579">
        <v>578</v>
      </c>
      <c r="B579">
        <v>42</v>
      </c>
      <c r="D579" t="s">
        <v>1584</v>
      </c>
      <c r="E579" t="s">
        <v>1549</v>
      </c>
      <c r="F579">
        <v>4</v>
      </c>
      <c r="G579">
        <v>34</v>
      </c>
      <c r="J579" t="s">
        <v>1586</v>
      </c>
      <c r="K579">
        <v>43.268481700000002</v>
      </c>
      <c r="L579">
        <v>13.451358300000001</v>
      </c>
      <c r="M579" t="s">
        <v>1551</v>
      </c>
      <c r="N579" t="str">
        <f>TRIM(MID(M579,FIND(",",M579,FIND(",",M579)+1)+1,FIND(",",M579,FIND(",",M579,FIND(",",M579)+1)+1)-FIND(",",M579,FIND(",",M579)+1)-1))</f>
        <v>Macerata</v>
      </c>
    </row>
    <row r="580" spans="1:14" x14ac:dyDescent="0.3">
      <c r="A580">
        <v>579</v>
      </c>
      <c r="B580">
        <v>42</v>
      </c>
      <c r="D580" t="s">
        <v>1587</v>
      </c>
      <c r="E580" t="s">
        <v>1587</v>
      </c>
      <c r="F580" t="s">
        <v>22</v>
      </c>
      <c r="G580" t="s">
        <v>22</v>
      </c>
      <c r="J580" t="s">
        <v>1588</v>
      </c>
      <c r="K580">
        <v>43.280001599999999</v>
      </c>
      <c r="L580">
        <v>13.481744600000001</v>
      </c>
      <c r="M580" t="s">
        <v>1589</v>
      </c>
      <c r="N580" t="str">
        <f>TRIM(MID(M580,FIND(",",M580,FIND(",",M580)+1)+1,FIND(",",M580,FIND(",",M580,FIND(",",M580)+1)+1)-FIND(",",M580,FIND(",",M580)+1)-1))</f>
        <v>Peschiera</v>
      </c>
    </row>
    <row r="581" spans="1:14" x14ac:dyDescent="0.3">
      <c r="A581">
        <v>580</v>
      </c>
      <c r="B581">
        <v>42</v>
      </c>
      <c r="D581" t="s">
        <v>1590</v>
      </c>
      <c r="E581" t="s">
        <v>699</v>
      </c>
      <c r="F581">
        <v>67</v>
      </c>
      <c r="G581">
        <v>67</v>
      </c>
      <c r="J581" t="s">
        <v>1591</v>
      </c>
      <c r="K581">
        <v>43.287414099999999</v>
      </c>
      <c r="L581">
        <v>13.4624384</v>
      </c>
      <c r="M581" t="s">
        <v>701</v>
      </c>
      <c r="N581" t="str">
        <f>TRIM(MID(M581,FIND(",",M581,FIND(",",M581)+1)+1,FIND(",",M581,FIND(",",M581,FIND(",",M581)+1)+1)-FIND(",",M581,FIND(",",M581)+1)-1))</f>
        <v>Macerata</v>
      </c>
    </row>
    <row r="582" spans="1:14" x14ac:dyDescent="0.3">
      <c r="A582">
        <v>581</v>
      </c>
      <c r="B582">
        <v>42</v>
      </c>
      <c r="D582" t="s">
        <v>1590</v>
      </c>
      <c r="E582" t="s">
        <v>699</v>
      </c>
      <c r="F582">
        <v>64</v>
      </c>
      <c r="G582">
        <v>68</v>
      </c>
      <c r="J582" t="s">
        <v>1592</v>
      </c>
      <c r="K582">
        <v>43.294772700000003</v>
      </c>
      <c r="L582">
        <v>13.463875399999999</v>
      </c>
      <c r="M582" t="s">
        <v>701</v>
      </c>
      <c r="N582" t="str">
        <f>TRIM(MID(M582,FIND(",",M582,FIND(",",M582)+1)+1,FIND(",",M582,FIND(",",M582,FIND(",",M582)+1)+1)-FIND(",",M582,FIND(",",M582)+1)-1))</f>
        <v>Macerata</v>
      </c>
    </row>
    <row r="583" spans="1:14" x14ac:dyDescent="0.3">
      <c r="A583">
        <v>582</v>
      </c>
      <c r="B583">
        <v>42</v>
      </c>
      <c r="D583" t="s">
        <v>1593</v>
      </c>
      <c r="E583" t="s">
        <v>1593</v>
      </c>
      <c r="F583" t="s">
        <v>22</v>
      </c>
      <c r="G583" t="s">
        <v>22</v>
      </c>
      <c r="J583" t="s">
        <v>1594</v>
      </c>
      <c r="K583">
        <v>43.270413400000002</v>
      </c>
      <c r="L583">
        <v>13.461103899999999</v>
      </c>
      <c r="M583" t="s">
        <v>1595</v>
      </c>
      <c r="N583" t="str">
        <f>TRIM(MID(M583,FIND(",",M583,FIND(",",M583)+1)+1,FIND(",",M583,FIND(",",M583,FIND(",",M583)+1)+1)-FIND(",",M583,FIND(",",M583)+1)-1))</f>
        <v>Macerata</v>
      </c>
    </row>
    <row r="584" spans="1:14" x14ac:dyDescent="0.3">
      <c r="A584">
        <v>583</v>
      </c>
      <c r="B584">
        <v>42</v>
      </c>
      <c r="D584" t="s">
        <v>1596</v>
      </c>
      <c r="E584" t="s">
        <v>1597</v>
      </c>
      <c r="F584">
        <v>37</v>
      </c>
      <c r="G584">
        <v>51</v>
      </c>
      <c r="J584" t="s">
        <v>1598</v>
      </c>
      <c r="K584">
        <v>43.262447899999998</v>
      </c>
      <c r="L584">
        <v>13.4396285</v>
      </c>
      <c r="M584" t="s">
        <v>1599</v>
      </c>
      <c r="N584" t="str">
        <f>TRIM(MID(M584,FIND(",",M584,FIND(",",M584)+1)+1,FIND(",",M584,FIND(",",M584,FIND(",",M584)+1)+1)-FIND(",",M584,FIND(",",M584)+1)-1))</f>
        <v>62100</v>
      </c>
    </row>
    <row r="585" spans="1:14" x14ac:dyDescent="0.3">
      <c r="A585">
        <v>584</v>
      </c>
      <c r="B585">
        <v>42</v>
      </c>
      <c r="D585" t="s">
        <v>1596</v>
      </c>
      <c r="E585" t="s">
        <v>1597</v>
      </c>
      <c r="F585">
        <v>4</v>
      </c>
      <c r="G585">
        <v>42</v>
      </c>
      <c r="J585" t="s">
        <v>1600</v>
      </c>
      <c r="K585">
        <v>43.262447899999998</v>
      </c>
      <c r="L585">
        <v>13.4396285</v>
      </c>
      <c r="M585" t="s">
        <v>1599</v>
      </c>
      <c r="N585" t="str">
        <f>TRIM(MID(M585,FIND(",",M585,FIND(",",M585)+1)+1,FIND(",",M585,FIND(",",M585,FIND(",",M585)+1)+1)-FIND(",",M585,FIND(",",M585)+1)-1))</f>
        <v>62100</v>
      </c>
    </row>
    <row r="586" spans="1:14" x14ac:dyDescent="0.3">
      <c r="A586">
        <v>585</v>
      </c>
      <c r="B586">
        <v>42</v>
      </c>
      <c r="D586" t="s">
        <v>1601</v>
      </c>
      <c r="E586" t="s">
        <v>1601</v>
      </c>
      <c r="F586" t="s">
        <v>22</v>
      </c>
      <c r="G586" t="s">
        <v>22</v>
      </c>
      <c r="J586" t="s">
        <v>1602</v>
      </c>
      <c r="K586">
        <v>43.275966799999999</v>
      </c>
      <c r="L586">
        <v>13.4718512</v>
      </c>
      <c r="M586" t="s">
        <v>1603</v>
      </c>
      <c r="N586" t="str">
        <f>TRIM(MID(M586,FIND(",",M586,FIND(",",M586)+1)+1,FIND(",",M586,FIND(",",M586,FIND(",",M586)+1)+1)-FIND(",",M586,FIND(",",M586)+1)-1))</f>
        <v>Piediripa</v>
      </c>
    </row>
    <row r="587" spans="1:14" x14ac:dyDescent="0.3">
      <c r="A587">
        <v>586</v>
      </c>
      <c r="B587">
        <v>42</v>
      </c>
      <c r="D587" t="s">
        <v>1604</v>
      </c>
      <c r="E587" t="s">
        <v>1604</v>
      </c>
      <c r="F587" t="s">
        <v>22</v>
      </c>
      <c r="G587" t="s">
        <v>22</v>
      </c>
      <c r="J587" t="s">
        <v>1605</v>
      </c>
      <c r="K587">
        <v>43.271885300000001</v>
      </c>
      <c r="L587">
        <v>13.466526399999999</v>
      </c>
      <c r="M587" t="s">
        <v>1606</v>
      </c>
      <c r="N587" t="str">
        <f>TRIM(MID(M587,FIND(",",M587,FIND(",",M587)+1)+1,FIND(",",M587,FIND(",",M587,FIND(",",M587)+1)+1)-FIND(",",M587,FIND(",",M587)+1)-1))</f>
        <v>Piediripa</v>
      </c>
    </row>
    <row r="588" spans="1:14" x14ac:dyDescent="0.3">
      <c r="A588">
        <v>587</v>
      </c>
      <c r="B588">
        <v>42</v>
      </c>
      <c r="D588" t="s">
        <v>1607</v>
      </c>
      <c r="E588" t="s">
        <v>1607</v>
      </c>
      <c r="F588" t="s">
        <v>22</v>
      </c>
      <c r="G588" t="s">
        <v>22</v>
      </c>
      <c r="J588" t="s">
        <v>1608</v>
      </c>
      <c r="K588">
        <v>43.276333399999999</v>
      </c>
      <c r="L588">
        <v>13.475632600000001</v>
      </c>
      <c r="M588" t="s">
        <v>1609</v>
      </c>
      <c r="N588" t="str">
        <f>TRIM(MID(M588,FIND(",",M588,FIND(",",M588)+1)+1,FIND(",",M588,FIND(",",M588,FIND(",",M588)+1)+1)-FIND(",",M588,FIND(",",M588)+1)-1))</f>
        <v>Piediripa</v>
      </c>
    </row>
    <row r="589" spans="1:14" x14ac:dyDescent="0.3">
      <c r="A589">
        <v>588</v>
      </c>
      <c r="B589">
        <v>42</v>
      </c>
      <c r="D589" t="s">
        <v>1610</v>
      </c>
      <c r="E589" t="s">
        <v>1610</v>
      </c>
      <c r="F589" t="s">
        <v>22</v>
      </c>
      <c r="G589" t="s">
        <v>22</v>
      </c>
      <c r="J589" t="s">
        <v>1611</v>
      </c>
      <c r="K589">
        <v>43.2739549</v>
      </c>
      <c r="L589">
        <v>13.472136600000001</v>
      </c>
      <c r="M589" t="s">
        <v>1612</v>
      </c>
      <c r="N589" t="str">
        <f>TRIM(MID(M589,FIND(",",M589,FIND(",",M589)+1)+1,FIND(",",M589,FIND(",",M589,FIND(",",M589)+1)+1)-FIND(",",M589,FIND(",",M589)+1)-1))</f>
        <v>Piediripa</v>
      </c>
    </row>
    <row r="590" spans="1:14" x14ac:dyDescent="0.3">
      <c r="A590">
        <v>589</v>
      </c>
      <c r="B590">
        <v>42</v>
      </c>
      <c r="D590" t="s">
        <v>1613</v>
      </c>
      <c r="E590" t="s">
        <v>1614</v>
      </c>
      <c r="F590">
        <v>1</v>
      </c>
      <c r="G590">
        <v>7</v>
      </c>
      <c r="J590" t="s">
        <v>1615</v>
      </c>
      <c r="K590">
        <v>43.300635999999997</v>
      </c>
      <c r="L590">
        <v>13.725992700000001</v>
      </c>
      <c r="M590" t="s">
        <v>1616</v>
      </c>
      <c r="N590" t="str">
        <f>TRIM(MID(M590,FIND(",",M590,FIND(",",M590)+1)+1,FIND(",",M590,FIND(",",M590,FIND(",",M590)+1)+1)-FIND(",",M590,FIND(",",M590)+1)-1))</f>
        <v>San Giuseppe</v>
      </c>
    </row>
    <row r="591" spans="1:14" x14ac:dyDescent="0.3">
      <c r="A591">
        <v>590</v>
      </c>
      <c r="B591">
        <v>42</v>
      </c>
      <c r="D591" t="s">
        <v>1613</v>
      </c>
      <c r="E591" t="s">
        <v>1614</v>
      </c>
      <c r="F591">
        <v>4</v>
      </c>
      <c r="G591">
        <v>28</v>
      </c>
      <c r="J591" t="s">
        <v>1617</v>
      </c>
      <c r="K591">
        <v>43.300703400000003</v>
      </c>
      <c r="L591">
        <v>13.7261899</v>
      </c>
      <c r="M591" t="s">
        <v>1618</v>
      </c>
      <c r="N591" t="str">
        <f>TRIM(MID(M591,FIND(",",M591,FIND(",",M591)+1)+1,FIND(",",M591,FIND(",",M591,FIND(",",M591)+1)+1)-FIND(",",M591,FIND(",",M591)+1)-1))</f>
        <v>San Giuseppe</v>
      </c>
    </row>
    <row r="592" spans="1:14" x14ac:dyDescent="0.3">
      <c r="A592">
        <v>591</v>
      </c>
      <c r="B592">
        <v>43</v>
      </c>
      <c r="D592" t="s">
        <v>1619</v>
      </c>
      <c r="E592" t="s">
        <v>1581</v>
      </c>
      <c r="F592">
        <v>59</v>
      </c>
      <c r="G592">
        <v>87</v>
      </c>
      <c r="J592" t="s">
        <v>1620</v>
      </c>
      <c r="K592">
        <v>43.284091400000001</v>
      </c>
      <c r="L592">
        <v>13.480905699999999</v>
      </c>
      <c r="M592" t="s">
        <v>1583</v>
      </c>
      <c r="N592" t="str">
        <f>TRIM(MID(M592,FIND(",",M592,FIND(",",M592)+1)+1,FIND(",",M592,FIND(",",M592,FIND(",",M592)+1)+1)-FIND(",",M592,FIND(",",M592)+1)-1))</f>
        <v>Peschiera</v>
      </c>
    </row>
    <row r="593" spans="1:14" x14ac:dyDescent="0.3">
      <c r="A593">
        <v>592</v>
      </c>
      <c r="B593">
        <v>43</v>
      </c>
      <c r="D593" t="s">
        <v>1619</v>
      </c>
      <c r="E593" t="s">
        <v>1581</v>
      </c>
      <c r="F593">
        <v>2</v>
      </c>
      <c r="G593">
        <v>62</v>
      </c>
      <c r="J593" t="s">
        <v>1621</v>
      </c>
      <c r="K593">
        <v>43.284091400000001</v>
      </c>
      <c r="L593">
        <v>13.480905699999999</v>
      </c>
      <c r="M593" t="s">
        <v>1583</v>
      </c>
      <c r="N593" t="str">
        <f>TRIM(MID(M593,FIND(",",M593,FIND(",",M593)+1)+1,FIND(",",M593,FIND(",",M593,FIND(",",M593)+1)+1)-FIND(",",M593,FIND(",",M593)+1)-1))</f>
        <v>Peschiera</v>
      </c>
    </row>
    <row r="594" spans="1:14" x14ac:dyDescent="0.3">
      <c r="A594">
        <v>593</v>
      </c>
      <c r="B594">
        <v>43</v>
      </c>
      <c r="D594" t="s">
        <v>1622</v>
      </c>
      <c r="E594" t="s">
        <v>694</v>
      </c>
      <c r="F594">
        <v>29</v>
      </c>
      <c r="G594">
        <v>29</v>
      </c>
      <c r="J594" t="s">
        <v>1623</v>
      </c>
      <c r="K594">
        <v>43.290708100000003</v>
      </c>
      <c r="L594">
        <v>13.475986799999999</v>
      </c>
      <c r="M594" t="s">
        <v>696</v>
      </c>
      <c r="N594" t="str">
        <f>TRIM(MID(M594,FIND(",",M594,FIND(",",M594)+1)+1,FIND(",",M594,FIND(",",M594,FIND(",",M594)+1)+1)-FIND(",",M594,FIND(",",M594)+1)-1))</f>
        <v>Piediripa</v>
      </c>
    </row>
    <row r="595" spans="1:14" x14ac:dyDescent="0.3">
      <c r="A595">
        <v>594</v>
      </c>
      <c r="B595">
        <v>43</v>
      </c>
      <c r="D595" t="s">
        <v>1622</v>
      </c>
      <c r="E595" t="s">
        <v>694</v>
      </c>
      <c r="F595">
        <v>30</v>
      </c>
      <c r="G595">
        <v>32</v>
      </c>
      <c r="J595" t="s">
        <v>1624</v>
      </c>
      <c r="K595">
        <v>43.290708100000003</v>
      </c>
      <c r="L595">
        <v>13.475986799999999</v>
      </c>
      <c r="M595" t="s">
        <v>696</v>
      </c>
      <c r="N595" t="str">
        <f>TRIM(MID(M595,FIND(",",M595,FIND(",",M595)+1)+1,FIND(",",M595,FIND(",",M595,FIND(",",M595)+1)+1)-FIND(",",M595,FIND(",",M595)+1)-1))</f>
        <v>Piediripa</v>
      </c>
    </row>
    <row r="596" spans="1:14" x14ac:dyDescent="0.3">
      <c r="A596">
        <v>595</v>
      </c>
      <c r="B596">
        <v>43</v>
      </c>
      <c r="D596" t="s">
        <v>1625</v>
      </c>
      <c r="E596" t="s">
        <v>1625</v>
      </c>
      <c r="F596" t="s">
        <v>22</v>
      </c>
      <c r="G596" t="s">
        <v>22</v>
      </c>
      <c r="J596" t="s">
        <v>1626</v>
      </c>
      <c r="K596">
        <v>43.280270199999997</v>
      </c>
      <c r="L596">
        <v>13.494643200000001</v>
      </c>
      <c r="M596" t="s">
        <v>1627</v>
      </c>
      <c r="N596" t="str">
        <f>TRIM(MID(M596,FIND(",",M596,FIND(",",M596)+1)+1,FIND(",",M596,FIND(",",M596,FIND(",",M596)+1)+1)-FIND(",",M596,FIND(",",M596)+1)-1))</f>
        <v>Piediripa</v>
      </c>
    </row>
    <row r="597" spans="1:14" x14ac:dyDescent="0.3">
      <c r="A597">
        <v>596</v>
      </c>
      <c r="B597">
        <v>43</v>
      </c>
      <c r="D597" t="s">
        <v>1628</v>
      </c>
      <c r="E597" t="s">
        <v>1628</v>
      </c>
      <c r="F597" t="s">
        <v>22</v>
      </c>
      <c r="G597" t="s">
        <v>22</v>
      </c>
      <c r="J597" t="s">
        <v>1629</v>
      </c>
      <c r="N597" t="e">
        <f>TRIM(MID(M597,FIND(",",M597,FIND(",",M597)+1)+1,FIND(",",M597,FIND(",",M597,FIND(",",M597)+1)+1)-FIND(",",M597,FIND(",",M597)+1)-1))</f>
        <v>#VALUE!</v>
      </c>
    </row>
    <row r="598" spans="1:14" x14ac:dyDescent="0.3">
      <c r="A598">
        <v>597</v>
      </c>
      <c r="B598">
        <v>43</v>
      </c>
      <c r="D598" t="s">
        <v>1630</v>
      </c>
      <c r="E598" t="s">
        <v>1630</v>
      </c>
      <c r="F598" t="s">
        <v>22</v>
      </c>
      <c r="G598" t="s">
        <v>22</v>
      </c>
      <c r="J598" t="s">
        <v>1631</v>
      </c>
      <c r="K598">
        <v>43.283015300000002</v>
      </c>
      <c r="L598">
        <v>13.4885418</v>
      </c>
      <c r="M598" t="s">
        <v>1632</v>
      </c>
      <c r="N598" t="str">
        <f>TRIM(MID(M598,FIND(",",M598,FIND(",",M598)+1)+1,FIND(",",M598,FIND(",",M598,FIND(",",M598)+1)+1)-FIND(",",M598,FIND(",",M598)+1)-1))</f>
        <v>Peschiera</v>
      </c>
    </row>
    <row r="599" spans="1:14" x14ac:dyDescent="0.3">
      <c r="A599">
        <v>598</v>
      </c>
      <c r="B599">
        <v>43</v>
      </c>
      <c r="D599" t="s">
        <v>1633</v>
      </c>
      <c r="E599" t="s">
        <v>1597</v>
      </c>
      <c r="F599">
        <v>1</v>
      </c>
      <c r="G599">
        <v>19</v>
      </c>
      <c r="J599" t="s">
        <v>1634</v>
      </c>
      <c r="K599">
        <v>43.274987799999998</v>
      </c>
      <c r="L599">
        <v>13.484563100000001</v>
      </c>
      <c r="M599" t="s">
        <v>1635</v>
      </c>
      <c r="N599" t="str">
        <f>TRIM(MID(M599,FIND(",",M599,FIND(",",M599)+1)+1,FIND(",",M599,FIND(",",M599,FIND(",",M599)+1)+1)-FIND(",",M599,FIND(",",M599)+1)-1))</f>
        <v>Strada Cluentina</v>
      </c>
    </row>
    <row r="600" spans="1:14" x14ac:dyDescent="0.3">
      <c r="A600">
        <v>599</v>
      </c>
      <c r="B600">
        <v>43</v>
      </c>
      <c r="D600" t="s">
        <v>1636</v>
      </c>
      <c r="E600" t="s">
        <v>1636</v>
      </c>
      <c r="F600" t="s">
        <v>22</v>
      </c>
      <c r="G600" t="s">
        <v>22</v>
      </c>
      <c r="J600" t="s">
        <v>1637</v>
      </c>
      <c r="K600">
        <v>43.275256800000001</v>
      </c>
      <c r="L600">
        <v>13.496536499999999</v>
      </c>
      <c r="M600" t="s">
        <v>1638</v>
      </c>
      <c r="N600" t="str">
        <f>TRIM(MID(M600,FIND(",",M600,FIND(",",M600)+1)+1,FIND(",",M600,FIND(",",M600,FIND(",",M600)+1)+1)-FIND(",",M600,FIND(",",M600)+1)-1))</f>
        <v>Piediripa</v>
      </c>
    </row>
    <row r="601" spans="1:14" x14ac:dyDescent="0.3">
      <c r="A601">
        <v>600</v>
      </c>
      <c r="B601">
        <v>43</v>
      </c>
      <c r="D601" t="s">
        <v>1639</v>
      </c>
      <c r="E601" t="s">
        <v>1639</v>
      </c>
      <c r="F601" t="s">
        <v>22</v>
      </c>
      <c r="G601" t="s">
        <v>22</v>
      </c>
      <c r="J601" t="s">
        <v>1640</v>
      </c>
      <c r="K601">
        <v>43.278745600000001</v>
      </c>
      <c r="L601">
        <v>13.490849600000001</v>
      </c>
      <c r="M601" t="s">
        <v>1641</v>
      </c>
      <c r="N601" t="str">
        <f>TRIM(MID(M601,FIND(",",M601,FIND(",",M601)+1)+1,FIND(",",M601,FIND(",",M601,FIND(",",M601)+1)+1)-FIND(",",M601,FIND(",",M601)+1)-1))</f>
        <v>Piediripa</v>
      </c>
    </row>
    <row r="602" spans="1:14" x14ac:dyDescent="0.3">
      <c r="A602">
        <v>601</v>
      </c>
      <c r="B602">
        <v>43</v>
      </c>
      <c r="D602" t="s">
        <v>1642</v>
      </c>
      <c r="E602" t="s">
        <v>1642</v>
      </c>
      <c r="F602" t="s">
        <v>22</v>
      </c>
      <c r="G602" t="s">
        <v>22</v>
      </c>
      <c r="J602" t="s">
        <v>1643</v>
      </c>
      <c r="K602">
        <v>43.282571300000001</v>
      </c>
      <c r="L602">
        <v>13.496885499999999</v>
      </c>
      <c r="M602" t="s">
        <v>1644</v>
      </c>
      <c r="N602" t="str">
        <f>TRIM(MID(M602,FIND(",",M602,FIND(",",M602)+1)+1,FIND(",",M602,FIND(",",M602,FIND(",",M602)+1)+1)-FIND(",",M602,FIND(",",M602)+1)-1))</f>
        <v>Piediripa</v>
      </c>
    </row>
    <row r="603" spans="1:14" x14ac:dyDescent="0.3">
      <c r="A603">
        <v>602</v>
      </c>
      <c r="B603">
        <v>43</v>
      </c>
      <c r="D603" t="s">
        <v>1645</v>
      </c>
      <c r="E603" t="s">
        <v>710</v>
      </c>
      <c r="F603">
        <v>55</v>
      </c>
      <c r="G603">
        <v>99</v>
      </c>
      <c r="J603" t="s">
        <v>1646</v>
      </c>
      <c r="K603">
        <v>43.284730600000003</v>
      </c>
      <c r="L603">
        <v>13.479705600000001</v>
      </c>
      <c r="M603" t="s">
        <v>1647</v>
      </c>
      <c r="N603" t="str">
        <f>TRIM(MID(M603,FIND(",",M603,FIND(",",M603)+1)+1,FIND(",",M603,FIND(",",M603,FIND(",",M603)+1)+1)-FIND(",",M603,FIND(",",M603)+1)-1))</f>
        <v>Peschiera</v>
      </c>
    </row>
    <row r="604" spans="1:14" x14ac:dyDescent="0.3">
      <c r="A604">
        <v>603</v>
      </c>
      <c r="B604">
        <v>43</v>
      </c>
      <c r="D604" t="s">
        <v>1645</v>
      </c>
      <c r="E604" t="s">
        <v>710</v>
      </c>
      <c r="F604">
        <v>48</v>
      </c>
      <c r="G604">
        <v>110</v>
      </c>
      <c r="J604" t="s">
        <v>1648</v>
      </c>
      <c r="K604">
        <v>43.2752245</v>
      </c>
      <c r="L604">
        <v>13.4861054</v>
      </c>
      <c r="M604" t="s">
        <v>1649</v>
      </c>
      <c r="N604" t="str">
        <f>TRIM(MID(M604,FIND(",",M604,FIND(",",M604)+1)+1,FIND(",",M604,FIND(",",M604,FIND(",",M604)+1)+1)-FIND(",",M604,FIND(",",M604)+1)-1))</f>
        <v>Piediripa</v>
      </c>
    </row>
    <row r="605" spans="1:14" x14ac:dyDescent="0.3">
      <c r="A605">
        <v>604</v>
      </c>
      <c r="B605">
        <v>43</v>
      </c>
      <c r="D605" t="s">
        <v>1650</v>
      </c>
      <c r="E605" t="s">
        <v>1650</v>
      </c>
      <c r="F605" t="s">
        <v>22</v>
      </c>
      <c r="G605" t="s">
        <v>22</v>
      </c>
      <c r="J605" t="s">
        <v>1651</v>
      </c>
      <c r="K605">
        <v>43.276075800000001</v>
      </c>
      <c r="L605">
        <v>13.483720699999999</v>
      </c>
      <c r="M605" t="s">
        <v>1652</v>
      </c>
      <c r="N605" t="str">
        <f>TRIM(MID(M605,FIND(",",M605,FIND(",",M605)+1)+1,FIND(",",M605,FIND(",",M605,FIND(",",M605)+1)+1)-FIND(",",M605,FIND(",",M605)+1)-1))</f>
        <v>Peschiera</v>
      </c>
    </row>
    <row r="606" spans="1:14" x14ac:dyDescent="0.3">
      <c r="A606">
        <v>605</v>
      </c>
      <c r="B606">
        <v>43</v>
      </c>
      <c r="D606" t="s">
        <v>1653</v>
      </c>
      <c r="E606" t="s">
        <v>1653</v>
      </c>
      <c r="F606" t="s">
        <v>22</v>
      </c>
      <c r="G606" t="s">
        <v>22</v>
      </c>
      <c r="J606" t="s">
        <v>1654</v>
      </c>
      <c r="K606">
        <v>43.278642599999998</v>
      </c>
      <c r="L606">
        <v>13.4987105</v>
      </c>
      <c r="M606" t="s">
        <v>1655</v>
      </c>
      <c r="N606" t="str">
        <f>TRIM(MID(M606,FIND(",",M606,FIND(",",M606)+1)+1,FIND(",",M606,FIND(",",M606,FIND(",",M606)+1)+1)-FIND(",",M606,FIND(",",M606)+1)-1))</f>
        <v>Piediripa</v>
      </c>
    </row>
    <row r="607" spans="1:14" x14ac:dyDescent="0.3">
      <c r="A607">
        <v>606</v>
      </c>
      <c r="B607">
        <v>43</v>
      </c>
      <c r="D607" t="s">
        <v>1656</v>
      </c>
      <c r="E607" t="s">
        <v>1656</v>
      </c>
      <c r="F607" t="s">
        <v>22</v>
      </c>
      <c r="G607" t="s">
        <v>22</v>
      </c>
      <c r="J607" t="s">
        <v>1657</v>
      </c>
      <c r="K607">
        <v>43.284344400000002</v>
      </c>
      <c r="L607">
        <v>13.503271399999999</v>
      </c>
      <c r="M607" t="s">
        <v>1658</v>
      </c>
      <c r="N607" t="str">
        <f>TRIM(MID(M607,FIND(",",M607,FIND(",",M607)+1)+1,FIND(",",M607,FIND(",",M607,FIND(",",M607)+1)+1)-FIND(",",M607,FIND(",",M607)+1)-1))</f>
        <v>Piediripa</v>
      </c>
    </row>
    <row r="608" spans="1:14" x14ac:dyDescent="0.3">
      <c r="A608">
        <v>607</v>
      </c>
      <c r="B608">
        <v>43</v>
      </c>
      <c r="D608" t="s">
        <v>1659</v>
      </c>
      <c r="E608" t="s">
        <v>1659</v>
      </c>
      <c r="F608" t="s">
        <v>22</v>
      </c>
      <c r="G608" t="s">
        <v>22</v>
      </c>
      <c r="J608" t="s">
        <v>1660</v>
      </c>
      <c r="K608">
        <v>43.275912400000003</v>
      </c>
      <c r="L608">
        <v>13.493276099999999</v>
      </c>
      <c r="M608" t="s">
        <v>1661</v>
      </c>
      <c r="N608" t="str">
        <f>TRIM(MID(M608,FIND(",",M608,FIND(",",M608)+1)+1,FIND(",",M608,FIND(",",M608,FIND(",",M608)+1)+1)-FIND(",",M608,FIND(",",M608)+1)-1))</f>
        <v>Macerata</v>
      </c>
    </row>
    <row r="609" spans="1:14" x14ac:dyDescent="0.3">
      <c r="A609">
        <v>608</v>
      </c>
      <c r="B609">
        <v>43</v>
      </c>
      <c r="D609" t="s">
        <v>1662</v>
      </c>
      <c r="E609" t="s">
        <v>1662</v>
      </c>
      <c r="F609" t="s">
        <v>22</v>
      </c>
      <c r="G609" t="s">
        <v>22</v>
      </c>
      <c r="J609" t="s">
        <v>1663</v>
      </c>
      <c r="K609">
        <v>43.2760544</v>
      </c>
      <c r="L609">
        <v>13.4784205</v>
      </c>
      <c r="M609" t="s">
        <v>1664</v>
      </c>
      <c r="N609" t="str">
        <f>TRIM(MID(M609,FIND(",",M609,FIND(",",M609)+1)+1,FIND(",",M609,FIND(",",M609,FIND(",",M609)+1)+1)-FIND(",",M609,FIND(",",M609)+1)-1))</f>
        <v>Piediripa</v>
      </c>
    </row>
    <row r="610" spans="1:14" x14ac:dyDescent="0.3">
      <c r="A610">
        <v>609</v>
      </c>
      <c r="B610">
        <v>43</v>
      </c>
      <c r="D610" t="s">
        <v>1665</v>
      </c>
      <c r="E610" t="s">
        <v>1665</v>
      </c>
      <c r="F610" t="s">
        <v>22</v>
      </c>
      <c r="G610" t="s">
        <v>22</v>
      </c>
      <c r="J610" t="s">
        <v>1666</v>
      </c>
      <c r="N610" t="e">
        <f>TRIM(MID(M610,FIND(",",M610,FIND(",",M610)+1)+1,FIND(",",M610,FIND(",",M610,FIND(",",M610)+1)+1)-FIND(",",M610,FIND(",",M610)+1)-1))</f>
        <v>#VALUE!</v>
      </c>
    </row>
    <row r="611" spans="1:14" x14ac:dyDescent="0.3">
      <c r="A611">
        <v>610</v>
      </c>
      <c r="B611">
        <v>43</v>
      </c>
      <c r="D611" t="s">
        <v>1667</v>
      </c>
      <c r="E611" t="s">
        <v>1667</v>
      </c>
      <c r="F611" t="s">
        <v>22</v>
      </c>
      <c r="G611" t="s">
        <v>22</v>
      </c>
      <c r="J611" t="s">
        <v>1668</v>
      </c>
      <c r="K611">
        <v>43.283491300000001</v>
      </c>
      <c r="L611">
        <v>13.505167</v>
      </c>
      <c r="M611" t="s">
        <v>1669</v>
      </c>
      <c r="N611" t="str">
        <f>TRIM(MID(M611,FIND(",",M611,FIND(",",M611)+1)+1,FIND(",",M611,FIND(",",M611,FIND(",",M611)+1)+1)-FIND(",",M611,FIND(",",M611)+1)-1))</f>
        <v>62014</v>
      </c>
    </row>
    <row r="612" spans="1:14" x14ac:dyDescent="0.3">
      <c r="A612">
        <v>611</v>
      </c>
      <c r="B612">
        <v>43</v>
      </c>
      <c r="D612" t="s">
        <v>1670</v>
      </c>
      <c r="E612" t="s">
        <v>1670</v>
      </c>
      <c r="F612" t="s">
        <v>22</v>
      </c>
      <c r="G612" t="s">
        <v>22</v>
      </c>
      <c r="J612" t="s">
        <v>1671</v>
      </c>
      <c r="K612">
        <v>43.285007499999999</v>
      </c>
      <c r="L612">
        <v>13.499402999999999</v>
      </c>
      <c r="M612" t="s">
        <v>1672</v>
      </c>
      <c r="N612" t="str">
        <f>TRIM(MID(M612,FIND(",",M612,FIND(",",M612)+1)+1,FIND(",",M612,FIND(",",M612,FIND(",",M612)+1)+1)-FIND(",",M612,FIND(",",M612)+1)-1))</f>
        <v>Piediripa</v>
      </c>
    </row>
    <row r="613" spans="1:14" x14ac:dyDescent="0.3">
      <c r="A613">
        <v>612</v>
      </c>
      <c r="B613">
        <v>43</v>
      </c>
      <c r="D613" t="s">
        <v>1673</v>
      </c>
      <c r="E613" t="s">
        <v>1673</v>
      </c>
      <c r="F613" t="s">
        <v>22</v>
      </c>
      <c r="G613" t="s">
        <v>22</v>
      </c>
      <c r="J613" t="s">
        <v>1674</v>
      </c>
      <c r="K613">
        <v>43.207434900000003</v>
      </c>
      <c r="L613">
        <v>13.284988500000001</v>
      </c>
      <c r="M613" t="s">
        <v>1675</v>
      </c>
      <c r="N613" t="str">
        <f>TRIM(MID(M613,FIND(",",M613,FIND(",",M613)+1)+1,FIND(",",M613,FIND(",",M613,FIND(",",M613)+1)+1)-FIND(",",M613,FIND(",",M613)+1)-1))</f>
        <v>Macerata</v>
      </c>
    </row>
    <row r="614" spans="1:14" x14ac:dyDescent="0.3">
      <c r="A614">
        <v>613</v>
      </c>
      <c r="B614">
        <v>43</v>
      </c>
      <c r="D614" t="s">
        <v>1676</v>
      </c>
      <c r="E614" t="s">
        <v>1676</v>
      </c>
      <c r="F614" t="s">
        <v>22</v>
      </c>
      <c r="G614" t="s">
        <v>22</v>
      </c>
      <c r="J614" t="s">
        <v>1677</v>
      </c>
      <c r="K614">
        <v>43.278743900000002</v>
      </c>
      <c r="L614">
        <v>13.487879899999999</v>
      </c>
      <c r="M614" t="s">
        <v>1678</v>
      </c>
      <c r="N614" t="str">
        <f>TRIM(MID(M614,FIND(",",M614,FIND(",",M614)+1)+1,FIND(",",M614,FIND(",",M614,FIND(",",M614)+1)+1)-FIND(",",M614,FIND(",",M614)+1)-1))</f>
        <v>Peschiera</v>
      </c>
    </row>
    <row r="615" spans="1:14" x14ac:dyDescent="0.3">
      <c r="A615">
        <v>614</v>
      </c>
      <c r="B615">
        <v>43</v>
      </c>
      <c r="D615" t="s">
        <v>1679</v>
      </c>
      <c r="E615" t="s">
        <v>1679</v>
      </c>
      <c r="F615" t="s">
        <v>22</v>
      </c>
      <c r="G615" t="s">
        <v>22</v>
      </c>
      <c r="J615" t="s">
        <v>1680</v>
      </c>
      <c r="K615">
        <v>43.276277399999998</v>
      </c>
      <c r="L615">
        <v>13.482364499999999</v>
      </c>
      <c r="M615" t="s">
        <v>1681</v>
      </c>
      <c r="N615" t="str">
        <f>TRIM(MID(M615,FIND(",",M615,FIND(",",M615)+1)+1,FIND(",",M615,FIND(",",M615,FIND(",",M615)+1)+1)-FIND(",",M615,FIND(",",M615)+1)-1))</f>
        <v>Peschiera</v>
      </c>
    </row>
    <row r="616" spans="1:14" x14ac:dyDescent="0.3">
      <c r="A616">
        <v>615</v>
      </c>
      <c r="B616">
        <v>43</v>
      </c>
      <c r="D616" t="s">
        <v>1682</v>
      </c>
      <c r="E616" t="s">
        <v>1682</v>
      </c>
      <c r="F616" t="s">
        <v>22</v>
      </c>
      <c r="G616" t="s">
        <v>22</v>
      </c>
      <c r="J616" t="s">
        <v>1683</v>
      </c>
      <c r="K616">
        <v>43.280930499999997</v>
      </c>
      <c r="L616">
        <v>13.4942817</v>
      </c>
      <c r="M616" t="s">
        <v>1684</v>
      </c>
      <c r="N616" t="str">
        <f>TRIM(MID(M616,FIND(",",M616,FIND(",",M616)+1)+1,FIND(",",M616,FIND(",",M616,FIND(",",M616)+1)+1)-FIND(",",M616,FIND(",",M616)+1)-1))</f>
        <v>Piediripa</v>
      </c>
    </row>
    <row r="617" spans="1:14" x14ac:dyDescent="0.3">
      <c r="A617">
        <v>616</v>
      </c>
      <c r="B617">
        <v>43</v>
      </c>
      <c r="D617" t="s">
        <v>1685</v>
      </c>
      <c r="E617" t="s">
        <v>1685</v>
      </c>
      <c r="F617" t="s">
        <v>22</v>
      </c>
      <c r="G617" t="s">
        <v>22</v>
      </c>
      <c r="J617" t="s">
        <v>1686</v>
      </c>
      <c r="K617">
        <v>43.278053</v>
      </c>
      <c r="L617">
        <v>13.483331099999999</v>
      </c>
      <c r="M617" t="s">
        <v>1687</v>
      </c>
      <c r="N617" t="str">
        <f>TRIM(MID(M617,FIND(",",M617,FIND(",",M617)+1)+1,FIND(",",M617,FIND(",",M617,FIND(",",M617)+1)+1)-FIND(",",M617,FIND(",",M617)+1)-1))</f>
        <v>Peschiera</v>
      </c>
    </row>
    <row r="618" spans="1:14" x14ac:dyDescent="0.3">
      <c r="A618">
        <v>617</v>
      </c>
      <c r="B618">
        <v>43</v>
      </c>
      <c r="D618" t="s">
        <v>1688</v>
      </c>
      <c r="E618" t="s">
        <v>1688</v>
      </c>
      <c r="F618" t="s">
        <v>22</v>
      </c>
      <c r="G618" t="s">
        <v>22</v>
      </c>
      <c r="J618" t="s">
        <v>1689</v>
      </c>
      <c r="K618">
        <v>43.278733500000001</v>
      </c>
      <c r="L618">
        <v>13.5017543</v>
      </c>
      <c r="M618" t="s">
        <v>1690</v>
      </c>
      <c r="N618" t="str">
        <f>TRIM(MID(M618,FIND(",",M618,FIND(",",M618)+1)+1,FIND(",",M618,FIND(",",M618,FIND(",",M618)+1)+1)-FIND(",",M618,FIND(",",M618)+1)-1))</f>
        <v>Piediripa</v>
      </c>
    </row>
    <row r="619" spans="1:14" x14ac:dyDescent="0.3">
      <c r="A619">
        <v>618</v>
      </c>
      <c r="B619">
        <v>43</v>
      </c>
      <c r="D619" t="s">
        <v>1691</v>
      </c>
      <c r="E619" t="s">
        <v>1614</v>
      </c>
      <c r="F619">
        <v>11</v>
      </c>
      <c r="G619">
        <v>95</v>
      </c>
      <c r="J619" t="s">
        <v>1692</v>
      </c>
      <c r="K619">
        <v>43.300480800000003</v>
      </c>
      <c r="L619">
        <v>13.726149599999999</v>
      </c>
      <c r="M619" t="s">
        <v>1693</v>
      </c>
      <c r="N619" t="str">
        <f>TRIM(MID(M619,FIND(",",M619,FIND(",",M619)+1)+1,FIND(",",M619,FIND(",",M619,FIND(",",M619)+1)+1)-FIND(",",M619,FIND(",",M619)+1)-1))</f>
        <v>San Giuseppe</v>
      </c>
    </row>
    <row r="620" spans="1:14" x14ac:dyDescent="0.3">
      <c r="A620">
        <v>619</v>
      </c>
      <c r="B620">
        <v>43</v>
      </c>
      <c r="D620" t="s">
        <v>1691</v>
      </c>
      <c r="E620" t="s">
        <v>1614</v>
      </c>
      <c r="F620">
        <v>36</v>
      </c>
      <c r="G620">
        <v>74</v>
      </c>
      <c r="J620" t="s">
        <v>1694</v>
      </c>
      <c r="K620">
        <v>43.275370899999999</v>
      </c>
      <c r="L620">
        <v>13.479597099999999</v>
      </c>
      <c r="M620" t="s">
        <v>1695</v>
      </c>
      <c r="N620" t="str">
        <f>TRIM(MID(M620,FIND(",",M620,FIND(",",M620)+1)+1,FIND(",",M620,FIND(",",M620,FIND(",",M620)+1)+1)-FIND(",",M620,FIND(",",M620)+1)-1))</f>
        <v>Piediripa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RUFFINI</cp:lastModifiedBy>
  <dcterms:created xsi:type="dcterms:W3CDTF">2026-03-31T07:31:53Z</dcterms:created>
  <dcterms:modified xsi:type="dcterms:W3CDTF">2026-03-31T07:37:39Z</dcterms:modified>
</cp:coreProperties>
</file>